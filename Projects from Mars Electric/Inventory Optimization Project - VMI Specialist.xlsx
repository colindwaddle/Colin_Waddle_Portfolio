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defaultThemeVersion="202300"/>
  <mc:AlternateContent xmlns:mc="http://schemas.openxmlformats.org/markup-compatibility/2006">
    <mc:Choice Requires="x15">
      <x15ac:absPath xmlns:x15ac="http://schemas.microsoft.com/office/spreadsheetml/2010/11/ac" url="C:\Users\c2c94\OneDrive\Desktop\Careers\Waddle Portfolio\data-portfolio\Projects from Mars Electric\"/>
    </mc:Choice>
  </mc:AlternateContent>
  <xr:revisionPtr revIDLastSave="0" documentId="13_ncr:1_{DD7AF25E-F6B7-45B7-B71F-FAB3E8CCD0EF}" xr6:coauthVersionLast="47" xr6:coauthVersionMax="47" xr10:uidLastSave="{00000000-0000-0000-0000-000000000000}"/>
  <bookViews>
    <workbookView xWindow="1100" yWindow="1100" windowWidth="28800" windowHeight="15370" xr2:uid="{00000000-000D-0000-FFFF-FFFF00000000}"/>
  </bookViews>
  <sheets>
    <sheet name="Optimized Data" sheetId="4"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2" i="4"/>
  <c r="G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J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H2" i="4"/>
  <c r="I2" i="4" s="1"/>
  <c r="H3" i="4"/>
  <c r="I3" i="4" s="1"/>
  <c r="H4" i="4"/>
  <c r="I4" i="4" s="1"/>
  <c r="H5" i="4"/>
  <c r="I5" i="4" s="1"/>
  <c r="H6" i="4"/>
  <c r="I6" i="4" s="1"/>
  <c r="H7" i="4"/>
  <c r="I7" i="4" s="1"/>
  <c r="H8" i="4"/>
  <c r="I8" i="4" s="1"/>
  <c r="H9" i="4"/>
  <c r="I9" i="4" s="1"/>
  <c r="H10" i="4"/>
  <c r="I10" i="4" s="1"/>
  <c r="H11" i="4"/>
  <c r="I11" i="4" s="1"/>
  <c r="H12" i="4"/>
  <c r="I12" i="4" s="1"/>
  <c r="H13" i="4"/>
  <c r="I13" i="4" s="1"/>
  <c r="H14" i="4"/>
  <c r="I14" i="4" s="1"/>
  <c r="H15" i="4"/>
  <c r="I15" i="4" s="1"/>
  <c r="H16" i="4"/>
  <c r="I16" i="4" s="1"/>
  <c r="H17" i="4"/>
  <c r="I17" i="4" s="1"/>
  <c r="H18" i="4"/>
  <c r="I18" i="4" s="1"/>
  <c r="H19" i="4"/>
  <c r="I19" i="4" s="1"/>
  <c r="H20" i="4"/>
  <c r="I20" i="4" s="1"/>
  <c r="H21" i="4"/>
  <c r="I21" i="4" s="1"/>
  <c r="H22" i="4"/>
  <c r="I22" i="4" s="1"/>
  <c r="H23" i="4"/>
  <c r="I23" i="4" s="1"/>
  <c r="H24" i="4"/>
  <c r="I24" i="4" s="1"/>
  <c r="H25" i="4"/>
  <c r="I25" i="4" s="1"/>
  <c r="H26" i="4"/>
  <c r="I26" i="4" s="1"/>
  <c r="H27" i="4"/>
  <c r="I27" i="4" s="1"/>
  <c r="H28" i="4"/>
  <c r="I28" i="4" s="1"/>
  <c r="H29" i="4"/>
  <c r="I29" i="4" s="1"/>
  <c r="H30" i="4"/>
  <c r="I30" i="4" s="1"/>
  <c r="H31" i="4"/>
  <c r="I31" i="4" s="1"/>
  <c r="H32" i="4"/>
  <c r="I32" i="4" s="1"/>
  <c r="H33" i="4"/>
  <c r="I33" i="4" s="1"/>
  <c r="H34" i="4"/>
  <c r="I34" i="4" s="1"/>
  <c r="H35" i="4"/>
  <c r="I35" i="4" s="1"/>
  <c r="H36" i="4"/>
  <c r="I36" i="4" s="1"/>
  <c r="H37" i="4"/>
  <c r="I37" i="4" s="1"/>
  <c r="H38" i="4"/>
  <c r="I38" i="4" s="1"/>
  <c r="H39" i="4"/>
  <c r="I39" i="4" s="1"/>
  <c r="H40" i="4"/>
  <c r="I40" i="4" s="1"/>
  <c r="C9" i="4"/>
  <c r="K29" i="4" l="1"/>
  <c r="K27" i="4"/>
  <c r="K11" i="4"/>
  <c r="K26" i="4"/>
  <c r="K10" i="4"/>
  <c r="K25" i="4"/>
  <c r="K9" i="4"/>
  <c r="K40" i="4"/>
  <c r="K24" i="4"/>
  <c r="K8" i="4"/>
  <c r="K39" i="4"/>
  <c r="K23" i="4"/>
  <c r="K7" i="4"/>
  <c r="K38" i="4"/>
  <c r="K22" i="4"/>
  <c r="K6" i="4"/>
  <c r="K37" i="4"/>
  <c r="K21" i="4"/>
  <c r="K5" i="4"/>
  <c r="K36" i="4"/>
  <c r="K20" i="4"/>
  <c r="K4" i="4"/>
  <c r="K35" i="4"/>
  <c r="K19" i="4"/>
  <c r="K3" i="4"/>
  <c r="K34" i="4"/>
  <c r="K18" i="4"/>
  <c r="K2" i="4"/>
  <c r="K33" i="4"/>
  <c r="K17" i="4"/>
  <c r="K32" i="4"/>
  <c r="K16" i="4"/>
  <c r="K31" i="4"/>
  <c r="K15" i="4"/>
  <c r="K30" i="4"/>
  <c r="K14" i="4"/>
  <c r="K13" i="4"/>
  <c r="K28" i="4"/>
  <c r="K12" i="4"/>
  <c r="C31" i="4"/>
  <c r="C15" i="4"/>
  <c r="C7" i="4"/>
  <c r="C39" i="4"/>
  <c r="C23" i="4"/>
  <c r="C5" i="4"/>
  <c r="C37" i="4"/>
  <c r="C21" i="4"/>
  <c r="C2" i="4"/>
  <c r="C10" i="4"/>
  <c r="C8" i="4"/>
  <c r="C3" i="4"/>
  <c r="C40" i="4"/>
  <c r="C24" i="4"/>
  <c r="C36" i="4"/>
  <c r="C27" i="4"/>
  <c r="C34" i="4"/>
  <c r="C26" i="4"/>
  <c r="C18" i="4"/>
  <c r="C4" i="4"/>
  <c r="C11" i="4"/>
  <c r="C20" i="4"/>
  <c r="C19" i="4"/>
  <c r="C35" i="4"/>
  <c r="C25" i="4"/>
  <c r="C38" i="4"/>
  <c r="C22" i="4"/>
  <c r="C6" i="4"/>
  <c r="C32" i="4"/>
  <c r="C16" i="4"/>
  <c r="C28" i="4"/>
  <c r="C12" i="4"/>
  <c r="C13" i="4"/>
  <c r="C29" i="4"/>
  <c r="C30" i="4"/>
  <c r="C14" i="4"/>
  <c r="C33" i="4"/>
  <c r="C17"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5CB9BFF-9E40-4604-A5D9-2AF3DECF1CB6}" keepAlive="1" name="Query - Data" description="Connection to the 'Data' query in the workbook." type="5" refreshedVersion="8" background="1" saveData="1">
    <dbPr connection="Provider=Microsoft.Mashup.OleDb.1;Data Source=$Workbook$;Location=Data;Extended Properties=&quot;&quot;" command="SELECT * FROM [Data]"/>
  </connection>
  <connection id="2" xr16:uid="{CBB1928F-6B8C-4921-AD97-2EEFFEA9B029}" keepAlive="1" name="Query - Data (2)" description="Connection to the 'Data (2)' query in the workbook." type="5" refreshedVersion="8" background="1" saveData="1">
    <dbPr connection="Provider=Microsoft.Mashup.OleDb.1;Data Source=$Workbook$;Location=&quot;Data (2)&quot;;Extended Properties=&quot;&quot;" command="SELECT * FROM [Data (2)]"/>
  </connection>
  <connection id="3" xr16:uid="{B181B546-F2D1-4CB3-B41E-338EBB55740E}" keepAlive="1" name="Query - Data (3)" description="Connection to the 'Data (3)' query in the workbook." type="5" refreshedVersion="8" background="1" saveData="1">
    <dbPr connection="Provider=Microsoft.Mashup.OleDb.1;Data Source=$Workbook$;Location=&quot;Data (3)&quot;;Extended Properties=&quot;&quot;" command="SELECT * FROM [Data (3)]"/>
  </connection>
</connections>
</file>

<file path=xl/sharedStrings.xml><?xml version="1.0" encoding="utf-8"?>
<sst xmlns="http://schemas.openxmlformats.org/spreadsheetml/2006/main" count="140" uniqueCount="98">
  <si>
    <t>BRDGPORT 920-S 1/2 1H STEEL EMT</t>
  </si>
  <si>
    <t>3M 33+SUPER-3/4X76FT VINYL TAPE</t>
  </si>
  <si>
    <t>BRDGPORT 921-S 3/4 1H STEEL EMT</t>
  </si>
  <si>
    <t>ARL SG380AST 3/8 SADDLE GRIP</t>
  </si>
  <si>
    <t>APP BH-500 1/4-20 TAPPED BEAM</t>
  </si>
  <si>
    <t>ARL EMT75 3/4IN NM TERMINATOR</t>
  </si>
  <si>
    <t>BRDGPORT 901-S 1/2 1H STEEL COND</t>
  </si>
  <si>
    <t>CABLE MC-AL-12/2-STR-W/GRN-GND 120V</t>
  </si>
  <si>
    <t>3M 88-SUPER-3/4X66FT ELECT TAPE</t>
  </si>
  <si>
    <t>AMFI STR50 1/2 L/T REUSE CONNECTOR</t>
  </si>
  <si>
    <t>BRDGPORT 407-DC2 1/2 D/C SQZ FLEX</t>
  </si>
  <si>
    <t>AMFI STR75 3/4 L/T REUSE CONNECTOR</t>
  </si>
  <si>
    <t>ARL 38AST 3/8 INSUL FLEX CBL CONN</t>
  </si>
  <si>
    <t>BRDGPORT 902-S 3/4 1H STEEL COND</t>
  </si>
  <si>
    <t>BRDGPORT 922-S 1-IN 1H STEEL EMT</t>
  </si>
  <si>
    <t>ARL SG38 3/8 SADDLE GRIP</t>
  </si>
  <si>
    <t>BRDGPORT 324 1-1/4 105D PLS INSBSH</t>
  </si>
  <si>
    <t>BRDGPORT 326 2IN 105D PLSTC INS BSH</t>
  </si>
  <si>
    <t>3M TEMFLEX 165BK4A VINYL</t>
  </si>
  <si>
    <t>CABLE MC-AL-12/3-STR-W/GRN-GND 120V</t>
  </si>
  <si>
    <t>BRDGPORT 322 3/4 105D PLSTC INS</t>
  </si>
  <si>
    <t>BRDGPORT 1102-DC 1/2 D/C CONDUIT</t>
  </si>
  <si>
    <t>3M SI-1 CABLE STACKER</t>
  </si>
  <si>
    <t>ARL EMT50 1/2 NM TERMINATOR</t>
  </si>
  <si>
    <t>ARL NM2015 3/4 NM RIGID PIPE HANGER</t>
  </si>
  <si>
    <t>BRDGPORT 323 1IN 105D PLSTC INSBSH</t>
  </si>
  <si>
    <t>3M 35-WHITE-3/4X66FT CODING TAPE</t>
  </si>
  <si>
    <t>AMFI RB7550 3/4X1/2 RED BUSHING</t>
  </si>
  <si>
    <t>3M 3939-48MMX54.8M SILVER DUCT TAPE</t>
  </si>
  <si>
    <t>BRDGPORT 321 1/2 105D PLSTC INSBSH</t>
  </si>
  <si>
    <t>AMF NT2751 3/4 RIGID COMP CONN</t>
  </si>
  <si>
    <t>3M 35-RED-3/4X66FT CODING TAPE</t>
  </si>
  <si>
    <t>BRDGPORT 903-S 1-IN 1H STEEL COND</t>
  </si>
  <si>
    <t>BRDGPORT 1103-DC 3/4 D/C CONDUIT</t>
  </si>
  <si>
    <t>BRDGPORT 1520-DC 1/2 OFFSET COND</t>
  </si>
  <si>
    <t>AMFI STR100 1IN L/T REUSE CONN</t>
  </si>
  <si>
    <t>ARL EMT125 1-1/4 NM TERMINATOR</t>
  </si>
  <si>
    <t>BRDGPORT 801-DC2 3/8 D/C 90D FLEX</t>
  </si>
  <si>
    <t>BRDGPORT 923-S 1-1/4 1H STEEL EMT</t>
  </si>
  <si>
    <t>Per Month</t>
  </si>
  <si>
    <t>Sealtite</t>
  </si>
  <si>
    <t>Product Name</t>
  </si>
  <si>
    <t>Category</t>
  </si>
  <si>
    <t>FLEX</t>
  </si>
  <si>
    <t>Brand</t>
  </si>
  <si>
    <t>Combined</t>
  </si>
  <si>
    <t>Brand Name</t>
  </si>
  <si>
    <t>Tape</t>
  </si>
  <si>
    <t>AMFI</t>
  </si>
  <si>
    <t>Steel Connector</t>
  </si>
  <si>
    <t>3M</t>
  </si>
  <si>
    <t>Box Qty</t>
  </si>
  <si>
    <t>APP</t>
  </si>
  <si>
    <t>BC</t>
  </si>
  <si>
    <t>ARL</t>
  </si>
  <si>
    <t>Fittings</t>
  </si>
  <si>
    <t>CABLE</t>
  </si>
  <si>
    <t xml:space="preserve">MC </t>
  </si>
  <si>
    <t>CARLON</t>
  </si>
  <si>
    <t>Carflex</t>
  </si>
  <si>
    <t>CCHC Box</t>
  </si>
  <si>
    <t>Metal Boxes</t>
  </si>
  <si>
    <t>RIG CPLG</t>
  </si>
  <si>
    <t>SEALTITE</t>
  </si>
  <si>
    <t>CONDUIT</t>
  </si>
  <si>
    <t>Al Flex</t>
  </si>
  <si>
    <t>Rigid Coupling</t>
  </si>
  <si>
    <t>CTX</t>
  </si>
  <si>
    <t>PVC Fittings</t>
  </si>
  <si>
    <t>Per Week</t>
  </si>
  <si>
    <t>DUR</t>
  </si>
  <si>
    <t>Battery</t>
  </si>
  <si>
    <t>ERC</t>
  </si>
  <si>
    <t>Caddy</t>
  </si>
  <si>
    <t>RACO</t>
  </si>
  <si>
    <t>Boxes</t>
  </si>
  <si>
    <t>PVC</t>
  </si>
  <si>
    <t>PVC Pipe</t>
  </si>
  <si>
    <t>Pipe (Rigid/Emt)</t>
  </si>
  <si>
    <t>Rec</t>
  </si>
  <si>
    <t>Glue</t>
  </si>
  <si>
    <t>P-STRUT</t>
  </si>
  <si>
    <t>Strut Fittings</t>
  </si>
  <si>
    <t>IDEAL</t>
  </si>
  <si>
    <t>Tie Wraps</t>
  </si>
  <si>
    <t>MULB</t>
  </si>
  <si>
    <t>Reducers/Fittings</t>
  </si>
  <si>
    <t>M&amp;W</t>
  </si>
  <si>
    <t>KO's</t>
  </si>
  <si>
    <t>CCHC</t>
  </si>
  <si>
    <t>LEV</t>
  </si>
  <si>
    <t>Receptacle/Plates</t>
  </si>
  <si>
    <t>BRDGPORT</t>
  </si>
  <si>
    <t># of Boxes Used - Monthly</t>
  </si>
  <si>
    <t>OPTIMIZED MONTHLY</t>
  </si>
  <si>
    <t>OPTIMIZED WEEKLY</t>
  </si>
  <si>
    <t>Total Quantity - Annual</t>
  </si>
  <si>
    <t>Straps/Bushings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</si>
</sst>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name val="Tahoma"/>
    </font>
    <font>
      <sz val="8"/>
      <name val="Tahoma"/>
    </font>
    <font>
      <sz val="10"/>
      <name val="Tahoma"/>
    </font>
    <font>
      <sz val="11"/>
      <color rgb="FF006100"/>
      <name val="Aptos Narrow"/>
      <family val="2"/>
      <scheme val="minor"/>
    </font>
    <font>
      <sz val="11"/>
      <color rgb="FF9C5700"/>
      <name val="Aptos Narrow"/>
      <family val="2"/>
      <scheme val="minor"/>
    </font>
    <font>
      <sz val="11"/>
      <color rgb="FF3F3F76"/>
      <name val="Aptos Narrow"/>
      <family val="2"/>
      <scheme val="minor"/>
    </font>
    <font>
      <b/>
      <sz val="10"/>
      <color theme="0"/>
      <name val="Tahoma"/>
    </font>
    <font>
      <b/>
      <sz val="11"/>
      <color rgb="FF006100"/>
      <name val="Aptos Narrow"/>
      <family val="2"/>
      <scheme val="minor"/>
    </font>
    <font>
      <b/>
      <sz val="11"/>
      <color rgb="FF3F3F76"/>
      <name val="Aptos Narrow"/>
      <family val="2"/>
      <scheme val="minor"/>
    </font>
    <font>
      <sz val="10"/>
      <color theme="1"/>
      <name val="Tahoma"/>
    </font>
  </fonts>
  <fills count="8">
    <fill>
      <patternFill patternType="none"/>
    </fill>
    <fill>
      <patternFill patternType="gray125"/>
    </fill>
    <fill>
      <patternFill patternType="solid">
        <fgColor rgb="FFC6EFCE"/>
      </patternFill>
    </fill>
    <fill>
      <patternFill patternType="solid">
        <fgColor rgb="FFFFEB9C"/>
      </patternFill>
    </fill>
    <fill>
      <patternFill patternType="solid">
        <fgColor rgb="FFFFCC99"/>
      </patternFill>
    </fill>
    <fill>
      <patternFill patternType="solid">
        <fgColor rgb="FFFFFFCC"/>
      </patternFill>
    </fill>
    <fill>
      <patternFill patternType="solid">
        <fgColor theme="9"/>
        <bgColor theme="9"/>
      </patternFill>
    </fill>
    <fill>
      <patternFill patternType="solid">
        <fgColor theme="9" tint="0.79998168889431442"/>
        <bgColor theme="9" tint="0.79998168889431442"/>
      </patternFill>
    </fill>
  </fills>
  <borders count="8">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style="thin">
        <color theme="9" tint="0.39997558519241921"/>
      </top>
      <bottom/>
      <diagonal/>
    </border>
    <border>
      <left style="thin">
        <color rgb="FFB2B2B2"/>
      </left>
      <right/>
      <top style="thin">
        <color rgb="FFB2B2B2"/>
      </top>
      <bottom/>
      <diagonal/>
    </border>
    <border>
      <left style="thin">
        <color rgb="FF7F7F7F"/>
      </left>
      <right/>
      <top style="thin">
        <color rgb="FF7F7F7F"/>
      </top>
      <bottom/>
      <diagonal/>
    </border>
    <border>
      <left style="thin">
        <color rgb="FF7F7F7F"/>
      </left>
      <right style="thin">
        <color theme="9" tint="0.39997558519241921"/>
      </right>
      <top style="thin">
        <color theme="9" tint="0.39997558519241921"/>
      </top>
      <bottom/>
      <diagonal/>
    </border>
    <border>
      <left style="thin">
        <color theme="9" tint="0.39997558519241921"/>
      </left>
      <right/>
      <top style="thin">
        <color theme="9" tint="0.39997558519241921"/>
      </top>
      <bottom/>
      <diagonal/>
    </border>
  </borders>
  <cellStyleXfs count="5">
    <xf numFmtId="0" fontId="0" fillId="0" borderId="0"/>
    <xf numFmtId="0" fontId="3" fillId="2" borderId="0" applyNumberFormat="0" applyBorder="0" applyAlignment="0" applyProtection="0"/>
    <xf numFmtId="0" fontId="4" fillId="3" borderId="0" applyNumberFormat="0" applyBorder="0" applyAlignment="0" applyProtection="0"/>
    <xf numFmtId="0" fontId="5" fillId="4" borderId="1" applyNumberFormat="0" applyAlignment="0" applyProtection="0"/>
    <xf numFmtId="0" fontId="2" fillId="5" borderId="2" applyNumberFormat="0" applyFont="0" applyAlignment="0" applyProtection="0"/>
  </cellStyleXfs>
  <cellXfs count="18">
    <xf numFmtId="0" fontId="0" fillId="0" borderId="0" xfId="0"/>
    <xf numFmtId="0" fontId="6" fillId="6" borderId="3" xfId="0" applyFont="1" applyFill="1" applyBorder="1"/>
    <xf numFmtId="1" fontId="6" fillId="6" borderId="3" xfId="0" applyNumberFormat="1" applyFont="1" applyFill="1" applyBorder="1"/>
    <xf numFmtId="0" fontId="6" fillId="6" borderId="6" xfId="0" applyFont="1" applyFill="1" applyBorder="1"/>
    <xf numFmtId="0" fontId="9" fillId="7" borderId="3" xfId="0" applyFont="1" applyFill="1" applyBorder="1"/>
    <xf numFmtId="1" fontId="9" fillId="7" borderId="3" xfId="0" applyNumberFormat="1" applyFont="1" applyFill="1" applyBorder="1"/>
    <xf numFmtId="0" fontId="9" fillId="7" borderId="6" xfId="0" applyFont="1" applyFill="1" applyBorder="1"/>
    <xf numFmtId="0" fontId="9" fillId="0" borderId="3" xfId="0" applyFont="1" applyBorder="1"/>
    <xf numFmtId="1" fontId="9" fillId="0" borderId="3" xfId="0" applyNumberFormat="1" applyFont="1" applyBorder="1"/>
    <xf numFmtId="0" fontId="9" fillId="0" borderId="6" xfId="0" applyFont="1" applyBorder="1"/>
    <xf numFmtId="0" fontId="6" fillId="6" borderId="7" xfId="0" applyFont="1" applyFill="1" applyBorder="1"/>
    <xf numFmtId="0" fontId="7" fillId="2" borderId="4" xfId="1" applyFont="1" applyBorder="1"/>
    <xf numFmtId="0" fontId="8" fillId="4" borderId="5" xfId="3" applyFont="1" applyBorder="1"/>
    <xf numFmtId="0" fontId="9" fillId="7" borderId="7" xfId="0" applyFont="1" applyFill="1" applyBorder="1"/>
    <xf numFmtId="1" fontId="4" fillId="3" borderId="3" xfId="2" applyNumberFormat="1" applyBorder="1"/>
    <xf numFmtId="0" fontId="9" fillId="5" borderId="4" xfId="4" applyFont="1" applyBorder="1"/>
    <xf numFmtId="0" fontId="5" fillId="4" borderId="5" xfId="3" applyBorder="1"/>
    <xf numFmtId="0" fontId="9" fillId="0" borderId="7" xfId="0" applyFont="1" applyBorder="1"/>
  </cellXfs>
  <cellStyles count="5">
    <cellStyle name="Good" xfId="1" builtinId="26"/>
    <cellStyle name="Input" xfId="3" builtinId="20"/>
    <cellStyle name="Neutral" xfId="2" builtinId="28"/>
    <cellStyle name="Normal" xfId="0" builtinId="0"/>
    <cellStyle name="Note" xfId="4" builtinId="10"/>
  </cellStyles>
  <dxfs count="0"/>
  <tableStyles count="0"/>
  <colors>
    <indexedColors>
      <rgbColor rgb="FF000000"/>
      <rgbColor rgb="FFFFFFFF"/>
      <rgbColor rgb="FFFF0000"/>
      <rgbColor rgb="FF00FF00"/>
      <rgbColor rgb="FF0000FF"/>
      <rgbColor rgb="FFFFFF00"/>
      <rgbColor rgb="FFFF00FF"/>
      <rgbColor rgb="FF00FFFF"/>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D0F0F7"/>
      <rgbColor rgb="FF28FFD4"/>
      <rgbColor rgb="FFEEEFEF"/>
      <rgbColor rgb="FFEE340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11</xdr:col>
      <xdr:colOff>266700</xdr:colOff>
      <xdr:row>26</xdr:row>
      <xdr:rowOff>12699</xdr:rowOff>
    </xdr:from>
    <xdr:to>
      <xdr:col>15</xdr:col>
      <xdr:colOff>495300</xdr:colOff>
      <xdr:row>42</xdr:row>
      <xdr:rowOff>47625</xdr:rowOff>
    </xdr:to>
    <xdr:sp macro="" textlink="">
      <xdr:nvSpPr>
        <xdr:cNvPr id="2" name="TextBox 1">
          <a:extLst>
            <a:ext uri="{FF2B5EF4-FFF2-40B4-BE49-F238E27FC236}">
              <a16:creationId xmlns:a16="http://schemas.microsoft.com/office/drawing/2014/main" id="{6206D076-1887-3FAD-2C26-D3816C3EE945}"/>
            </a:ext>
          </a:extLst>
        </xdr:cNvPr>
        <xdr:cNvSpPr txBox="1"/>
      </xdr:nvSpPr>
      <xdr:spPr>
        <a:xfrm>
          <a:off x="14192250" y="4718049"/>
          <a:ext cx="5010150" cy="28924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Inventory</a:t>
          </a:r>
          <a:r>
            <a:rPr lang="en-US" sz="1100" b="1" baseline="0"/>
            <a:t> Optimization Project - Mars Electric</a:t>
          </a:r>
        </a:p>
        <a:p>
          <a:endParaRPr lang="en-US" sz="1100" b="1" baseline="0"/>
        </a:p>
        <a:p>
          <a:r>
            <a:rPr lang="en-US"/>
            <a:t>Faced with recurring shortage complaints from a key client, I designed a data-driven inventory max system to replace informal, word-of-mouth stock estimates. Previously, I visited the client three times per week to place replenishment orders and completed same-day deliveries every other week to accommodate unexpected shortages.</a:t>
          </a:r>
        </a:p>
        <a:p>
          <a:r>
            <a:rPr lang="en-US"/>
            <a:t>While the original estimates proved directionally accurate, my analysis validated their logic and shifted the conversation—prompting the client to investigate internal causes for stockouts rather than placing blame externally. This not only built trust but also improved collaboration.</a:t>
          </a:r>
        </a:p>
        <a:p>
          <a:endParaRPr lang="en-US"/>
        </a:p>
        <a:p>
          <a:r>
            <a:rPr lang="en-US"/>
            <a:t>By implementing “optimized weekly” columns to define new inventory maxes,</a:t>
          </a:r>
          <a:r>
            <a:rPr lang="en-US" baseline="0"/>
            <a:t> it instantly cut same-day deliveries by half, saving $1,500 +. With a full implementation, this new layout could save close to $10,000 annually. All in all, this new blueprint satifisfies the needs of the customer and Mars without compromise.</a:t>
          </a:r>
          <a:endParaRPr lang="en-US" sz="1100" b="0"/>
        </a:p>
      </xdr:txBody>
    </xdr:sp>
    <xdr:clientData/>
  </xdr:twoCellAnchor>
  <xdr:twoCellAnchor>
    <xdr:from>
      <xdr:col>11</xdr:col>
      <xdr:colOff>88901</xdr:colOff>
      <xdr:row>96</xdr:row>
      <xdr:rowOff>120651</xdr:rowOff>
    </xdr:from>
    <xdr:to>
      <xdr:col>13</xdr:col>
      <xdr:colOff>615951</xdr:colOff>
      <xdr:row>105</xdr:row>
      <xdr:rowOff>57151</xdr:rowOff>
    </xdr:to>
    <xdr:sp macro="" textlink="">
      <xdr:nvSpPr>
        <xdr:cNvPr id="3" name="TextBox 2">
          <a:extLst>
            <a:ext uri="{FF2B5EF4-FFF2-40B4-BE49-F238E27FC236}">
              <a16:creationId xmlns:a16="http://schemas.microsoft.com/office/drawing/2014/main" id="{BB45F6A5-DD4D-BDE6-0610-FFDD1B7E60AF}"/>
            </a:ext>
          </a:extLst>
        </xdr:cNvPr>
        <xdr:cNvSpPr txBox="1"/>
      </xdr:nvSpPr>
      <xdr:spPr>
        <a:xfrm>
          <a:off x="14020801" y="16376651"/>
          <a:ext cx="3695700" cy="1365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CEDE0E0-395F-4222-816B-838049165841}" name="Table3" displayName="Table3" ref="M1:O25" totalsRowShown="0">
  <autoFilter ref="M1:O25" xr:uid="{1CEDE0E0-395F-4222-816B-838049165841}"/>
  <sortState xmlns:xlrd2="http://schemas.microsoft.com/office/spreadsheetml/2017/richdata2" ref="M2:O25">
    <sortCondition ref="M1:M25"/>
  </sortState>
  <tableColumns count="3">
    <tableColumn id="1" xr3:uid="{EED83FD9-1065-43CF-8A49-999EFDDE4508}" name="Brand Name"/>
    <tableColumn id="2" xr3:uid="{90F45CCB-E92F-4981-9115-CBDB15D2DE19}" name="Category"/>
    <tableColumn id="3" xr3:uid="{000F3D31-0864-401D-9A0F-69A5569E8760}" name="Box Q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24B7BB-3E39-4FE8-B616-C239858AE6AC}">
  <dimension ref="A1:O40"/>
  <sheetViews>
    <sheetView tabSelected="1" topLeftCell="C8" workbookViewId="0">
      <selection activeCell="B9" sqref="B9"/>
    </sheetView>
  </sheetViews>
  <sheetFormatPr defaultRowHeight="12.5" x14ac:dyDescent="0.25"/>
  <cols>
    <col min="1" max="2" width="14.1796875" customWidth="1"/>
    <col min="3" max="3" width="16.81640625" customWidth="1"/>
    <col min="4" max="4" width="36" bestFit="1" customWidth="1"/>
    <col min="5" max="5" width="16.36328125" bestFit="1" customWidth="1"/>
    <col min="6" max="6" width="12.81640625" bestFit="1" customWidth="1"/>
    <col min="7" max="7" width="23.7265625" bestFit="1" customWidth="1"/>
    <col min="8" max="8" width="12.81640625" customWidth="1"/>
    <col min="9" max="9" width="22.1796875" bestFit="1" customWidth="1"/>
    <col min="10" max="12" width="15.1796875" customWidth="1"/>
    <col min="13" max="13" width="30.1796875" customWidth="1"/>
    <col min="14" max="14" width="13.81640625" bestFit="1" customWidth="1"/>
    <col min="15" max="15" width="9.453125" bestFit="1" customWidth="1"/>
  </cols>
  <sheetData>
    <row r="1" spans="1:15" ht="14.5" x14ac:dyDescent="0.35">
      <c r="A1" s="10" t="s">
        <v>44</v>
      </c>
      <c r="B1" s="1" t="s">
        <v>42</v>
      </c>
      <c r="C1" s="1" t="s">
        <v>45</v>
      </c>
      <c r="D1" s="1" t="s">
        <v>41</v>
      </c>
      <c r="E1" s="1" t="s">
        <v>96</v>
      </c>
      <c r="F1" s="2" t="s">
        <v>39</v>
      </c>
      <c r="G1" s="2" t="s">
        <v>94</v>
      </c>
      <c r="H1" s="2" t="s">
        <v>69</v>
      </c>
      <c r="I1" s="11" t="s">
        <v>95</v>
      </c>
      <c r="J1" s="12" t="s">
        <v>51</v>
      </c>
      <c r="K1" s="3" t="s">
        <v>93</v>
      </c>
      <c r="M1" t="s">
        <v>46</v>
      </c>
      <c r="N1" t="s">
        <v>42</v>
      </c>
      <c r="O1" t="s">
        <v>51</v>
      </c>
    </row>
    <row r="2" spans="1:15" ht="14.5" x14ac:dyDescent="0.35">
      <c r="A2" s="13" t="s">
        <v>50</v>
      </c>
      <c r="B2" s="4" t="str">
        <f>_xlfn.LET(
  _xlpm.txt, D2,
  _xlpm.last, TRIM(RIGHT(SUBSTITUTE(_xlpm.txt," ",REPT(" ",LEN(_xlpm.txt))),LEN(_xlpm.txt))),
  IF(ISNUMBER(SEARCH("INSBSH",_xlpm.txt)),"INSBSH",
     IF(_xlpm.last="INS","INSBSH",
        IF(_xlpm.last="120V","CABLE",_xlpm.last)
     )
  )
)</f>
        <v>TAPE</v>
      </c>
      <c r="C2" s="4" t="str">
        <f>_xlfn.CONCAT('Optimized Data'!$A2," ",'Optimized Data'!$B2)</f>
        <v>3M TAPE</v>
      </c>
      <c r="D2" s="4" t="s">
        <v>1</v>
      </c>
      <c r="E2" s="4">
        <v>2079</v>
      </c>
      <c r="F2" s="5">
        <v>173.25</v>
      </c>
      <c r="G2" s="14">
        <f>CEILING('Optimized Data'!$F2,10)</f>
        <v>180</v>
      </c>
      <c r="H2" s="5">
        <f>'Optimized Data'!$F2/4</f>
        <v>43.3125</v>
      </c>
      <c r="I2" s="15">
        <f>CEILING('Optimized Data'!$H2,10)</f>
        <v>50</v>
      </c>
      <c r="J2" s="16">
        <f>VLOOKUP('Optimized Data'!$A2,Table3[],3,TRUE)</f>
        <v>10</v>
      </c>
      <c r="K2" s="6">
        <f>CEILING('Optimized Data'!$G2/'Optimized Data'!$J2, 1)</f>
        <v>18</v>
      </c>
      <c r="M2" t="s">
        <v>50</v>
      </c>
      <c r="N2" t="s">
        <v>47</v>
      </c>
      <c r="O2">
        <v>10</v>
      </c>
    </row>
    <row r="3" spans="1:15" ht="14.5" x14ac:dyDescent="0.35">
      <c r="A3" s="17" t="s">
        <v>50</v>
      </c>
      <c r="B3" s="4" t="str">
        <f t="shared" ref="B3:B40" si="0">_xlfn.LET(
  _xlpm.txt, D3,
  _xlpm.last, TRIM(RIGHT(SUBSTITUTE(_xlpm.txt," ",REPT(" ",LEN(_xlpm.txt))),LEN(_xlpm.txt))),
  IF(ISNUMBER(SEARCH("INSBSH",_xlpm.txt)),"INSBSH",
     IF(_xlpm.last="INS","INSBSH",
        IF(_xlpm.last="120V","CABLE",_xlpm.last)
     )
  )
)</f>
        <v>TAPE</v>
      </c>
      <c r="C3" s="7" t="str">
        <f>_xlfn.CONCAT('Optimized Data'!$A3," ",'Optimized Data'!$B3)</f>
        <v>3M TAPE</v>
      </c>
      <c r="D3" s="7" t="s">
        <v>31</v>
      </c>
      <c r="E3" s="7">
        <v>145</v>
      </c>
      <c r="F3" s="8">
        <v>12.083333333333334</v>
      </c>
      <c r="G3" s="14">
        <f>CEILING('Optimized Data'!$F3,10)</f>
        <v>20</v>
      </c>
      <c r="H3" s="8">
        <f>'Optimized Data'!$F3/4</f>
        <v>3.0208333333333335</v>
      </c>
      <c r="I3" s="15">
        <f>CEILING('Optimized Data'!$H3,10)</f>
        <v>10</v>
      </c>
      <c r="J3" s="16">
        <f>VLOOKUP('Optimized Data'!$A3,Table3[],3,TRUE)</f>
        <v>10</v>
      </c>
      <c r="K3" s="9">
        <f>CEILING('Optimized Data'!$G3/'Optimized Data'!$J3, 1)</f>
        <v>2</v>
      </c>
      <c r="M3" t="s">
        <v>48</v>
      </c>
      <c r="N3" t="s">
        <v>49</v>
      </c>
      <c r="O3">
        <v>10</v>
      </c>
    </row>
    <row r="4" spans="1:15" ht="14.5" x14ac:dyDescent="0.35">
      <c r="A4" s="13" t="s">
        <v>50</v>
      </c>
      <c r="B4" s="4" t="str">
        <f t="shared" si="0"/>
        <v>TAPE</v>
      </c>
      <c r="C4" s="4" t="str">
        <f>_xlfn.CONCAT('Optimized Data'!$A4," ",'Optimized Data'!$B4)</f>
        <v>3M TAPE</v>
      </c>
      <c r="D4" s="4" t="s">
        <v>26</v>
      </c>
      <c r="E4" s="4">
        <v>170</v>
      </c>
      <c r="F4" s="5">
        <v>14.166666666666666</v>
      </c>
      <c r="G4" s="14">
        <f>CEILING('Optimized Data'!$F4,10)</f>
        <v>20</v>
      </c>
      <c r="H4" s="5">
        <f>'Optimized Data'!$F4/4</f>
        <v>3.5416666666666665</v>
      </c>
      <c r="I4" s="15">
        <f>CEILING('Optimized Data'!$H4,10)</f>
        <v>10</v>
      </c>
      <c r="J4" s="16">
        <f>VLOOKUP('Optimized Data'!$A4,Table3[],3,TRUE)</f>
        <v>10</v>
      </c>
      <c r="K4" s="6">
        <f>CEILING('Optimized Data'!$G4/'Optimized Data'!$J4, 1)</f>
        <v>2</v>
      </c>
      <c r="M4" t="s">
        <v>52</v>
      </c>
      <c r="N4" t="s">
        <v>53</v>
      </c>
      <c r="O4">
        <v>25</v>
      </c>
    </row>
    <row r="5" spans="1:15" ht="14.5" x14ac:dyDescent="0.35">
      <c r="A5" s="17" t="s">
        <v>50</v>
      </c>
      <c r="B5" s="4" t="str">
        <f t="shared" si="0"/>
        <v>TAPE</v>
      </c>
      <c r="C5" s="7" t="str">
        <f>_xlfn.CONCAT('Optimized Data'!$A5," ",'Optimized Data'!$B5)</f>
        <v>3M TAPE</v>
      </c>
      <c r="D5" s="7" t="s">
        <v>28</v>
      </c>
      <c r="E5" s="7">
        <v>160</v>
      </c>
      <c r="F5" s="8">
        <v>13.333333333333334</v>
      </c>
      <c r="G5" s="14">
        <f>CEILING('Optimized Data'!$F5,10)</f>
        <v>20</v>
      </c>
      <c r="H5" s="8">
        <f>'Optimized Data'!$F5/4</f>
        <v>3.3333333333333335</v>
      </c>
      <c r="I5" s="15">
        <f>CEILING('Optimized Data'!$H5,10)</f>
        <v>10</v>
      </c>
      <c r="J5" s="16">
        <f>VLOOKUP('Optimized Data'!$A5,Table3[],3,TRUE)</f>
        <v>10</v>
      </c>
      <c r="K5" s="9">
        <f>CEILING('Optimized Data'!$G5/'Optimized Data'!$J5, 1)</f>
        <v>2</v>
      </c>
      <c r="M5" t="s">
        <v>54</v>
      </c>
      <c r="N5" t="s">
        <v>55</v>
      </c>
      <c r="O5">
        <v>66</v>
      </c>
    </row>
    <row r="6" spans="1:15" ht="14.5" x14ac:dyDescent="0.35">
      <c r="A6" s="13" t="s">
        <v>50</v>
      </c>
      <c r="B6" s="4" t="str">
        <f t="shared" si="0"/>
        <v>TAPE</v>
      </c>
      <c r="C6" s="4" t="str">
        <f>_xlfn.CONCAT('Optimized Data'!$A6," ",'Optimized Data'!$B6)</f>
        <v>3M TAPE</v>
      </c>
      <c r="D6" s="4" t="s">
        <v>8</v>
      </c>
      <c r="E6" s="4">
        <v>480</v>
      </c>
      <c r="F6" s="5">
        <v>40</v>
      </c>
      <c r="G6" s="14">
        <f>CEILING('Optimized Data'!$F6,10)</f>
        <v>40</v>
      </c>
      <c r="H6" s="5">
        <f>'Optimized Data'!$F6/4</f>
        <v>10</v>
      </c>
      <c r="I6" s="15">
        <f>CEILING('Optimized Data'!$H6,10)</f>
        <v>10</v>
      </c>
      <c r="J6" s="16">
        <f>VLOOKUP('Optimized Data'!$A6,Table3[],3,TRUE)</f>
        <v>10</v>
      </c>
      <c r="K6" s="6">
        <f>CEILING('Optimized Data'!$G6/'Optimized Data'!$J6, 1)</f>
        <v>4</v>
      </c>
      <c r="M6" t="s">
        <v>92</v>
      </c>
      <c r="N6" t="s">
        <v>97</v>
      </c>
      <c r="O6">
        <v>75</v>
      </c>
    </row>
    <row r="7" spans="1:15" ht="14.5" x14ac:dyDescent="0.35">
      <c r="A7" s="17" t="s">
        <v>50</v>
      </c>
      <c r="B7" s="4" t="str">
        <f t="shared" si="0"/>
        <v>STACKER</v>
      </c>
      <c r="C7" s="7" t="str">
        <f>_xlfn.CONCAT('Optimized Data'!$A7," ",'Optimized Data'!$B7)</f>
        <v>3M STACKER</v>
      </c>
      <c r="D7" s="7" t="s">
        <v>22</v>
      </c>
      <c r="E7" s="7">
        <v>200</v>
      </c>
      <c r="F7" s="8">
        <v>16.666666666666668</v>
      </c>
      <c r="G7" s="14">
        <f>CEILING('Optimized Data'!$F7,10)</f>
        <v>20</v>
      </c>
      <c r="H7" s="8">
        <f>'Optimized Data'!$F7/4</f>
        <v>4.166666666666667</v>
      </c>
      <c r="I7" s="15">
        <f>CEILING('Optimized Data'!$H7,10)</f>
        <v>10</v>
      </c>
      <c r="J7" s="16">
        <f>VLOOKUP('Optimized Data'!$A7,Table3[],3,TRUE)</f>
        <v>10</v>
      </c>
      <c r="K7" s="9">
        <f>CEILING('Optimized Data'!$G7/'Optimized Data'!$J7, 1)</f>
        <v>2</v>
      </c>
      <c r="M7" t="s">
        <v>56</v>
      </c>
      <c r="N7" t="s">
        <v>57</v>
      </c>
      <c r="O7">
        <v>250</v>
      </c>
    </row>
    <row r="8" spans="1:15" ht="14.5" x14ac:dyDescent="0.35">
      <c r="A8" s="13" t="s">
        <v>50</v>
      </c>
      <c r="B8" s="4" t="str">
        <f t="shared" si="0"/>
        <v>VINYL</v>
      </c>
      <c r="C8" s="4" t="str">
        <f>_xlfn.CONCAT('Optimized Data'!$A8," ",'Optimized Data'!$B8)</f>
        <v>3M VINYL</v>
      </c>
      <c r="D8" s="4" t="s">
        <v>18</v>
      </c>
      <c r="E8" s="4">
        <v>255</v>
      </c>
      <c r="F8" s="5">
        <v>21.25</v>
      </c>
      <c r="G8" s="14">
        <f>CEILING('Optimized Data'!$F8,10)</f>
        <v>30</v>
      </c>
      <c r="H8" s="5">
        <f>'Optimized Data'!$F8/4</f>
        <v>5.3125</v>
      </c>
      <c r="I8" s="15">
        <f>CEILING('Optimized Data'!$H8,10)</f>
        <v>10</v>
      </c>
      <c r="J8" s="16">
        <f>VLOOKUP('Optimized Data'!$A8,Table3[],3,TRUE)</f>
        <v>10</v>
      </c>
      <c r="K8" s="6">
        <f>CEILING('Optimized Data'!$G8/'Optimized Data'!$J8, 1)</f>
        <v>3</v>
      </c>
      <c r="M8" t="s">
        <v>58</v>
      </c>
      <c r="N8" t="s">
        <v>59</v>
      </c>
      <c r="O8">
        <v>100</v>
      </c>
    </row>
    <row r="9" spans="1:15" ht="14.5" x14ac:dyDescent="0.35">
      <c r="A9" s="17" t="s">
        <v>48</v>
      </c>
      <c r="B9" s="4" t="str">
        <f t="shared" si="0"/>
        <v>CONN</v>
      </c>
      <c r="C9" s="7" t="str">
        <f>_xlfn.CONCAT('Optimized Data'!$A9," ",'Optimized Data'!$B9)</f>
        <v>AMFI CONN</v>
      </c>
      <c r="D9" s="7" t="s">
        <v>30</v>
      </c>
      <c r="E9" s="7">
        <v>145</v>
      </c>
      <c r="F9" s="8">
        <v>12.083333333333334</v>
      </c>
      <c r="G9" s="14">
        <f>CEILING('Optimized Data'!$F9,10)</f>
        <v>20</v>
      </c>
      <c r="H9" s="8">
        <f>'Optimized Data'!$F9/4</f>
        <v>3.0208333333333335</v>
      </c>
      <c r="I9" s="15">
        <f>CEILING('Optimized Data'!$H9,10)</f>
        <v>10</v>
      </c>
      <c r="J9" s="16">
        <f>VLOOKUP('Optimized Data'!$A9,Table3[],3,TRUE)</f>
        <v>10</v>
      </c>
      <c r="K9" s="9">
        <f>CEILING('Optimized Data'!$G9/'Optimized Data'!$J9, 1)</f>
        <v>2</v>
      </c>
      <c r="M9" t="s">
        <v>89</v>
      </c>
      <c r="N9" t="s">
        <v>55</v>
      </c>
      <c r="O9">
        <v>100</v>
      </c>
    </row>
    <row r="10" spans="1:15" ht="14.5" x14ac:dyDescent="0.35">
      <c r="A10" s="13" t="s">
        <v>48</v>
      </c>
      <c r="B10" s="4" t="str">
        <f t="shared" si="0"/>
        <v>BUSHING</v>
      </c>
      <c r="C10" s="4" t="str">
        <f>_xlfn.CONCAT('Optimized Data'!$A10," ",'Optimized Data'!$B10)</f>
        <v>AMFI BUSHING</v>
      </c>
      <c r="D10" s="4" t="s">
        <v>27</v>
      </c>
      <c r="E10" s="4">
        <v>163</v>
      </c>
      <c r="F10" s="5">
        <v>13.583333333333334</v>
      </c>
      <c r="G10" s="14">
        <f>CEILING('Optimized Data'!$F10,10)</f>
        <v>20</v>
      </c>
      <c r="H10" s="5">
        <f>'Optimized Data'!$F10/4</f>
        <v>3.3958333333333335</v>
      </c>
      <c r="I10" s="15">
        <f>CEILING('Optimized Data'!$H10,10)</f>
        <v>10</v>
      </c>
      <c r="J10" s="16">
        <f>VLOOKUP('Optimized Data'!$A10,Table3[],3,TRUE)</f>
        <v>10</v>
      </c>
      <c r="K10" s="6">
        <f>CEILING('Optimized Data'!$G10/'Optimized Data'!$J10, 1)</f>
        <v>2</v>
      </c>
      <c r="M10" t="s">
        <v>60</v>
      </c>
      <c r="N10" t="s">
        <v>61</v>
      </c>
      <c r="O10">
        <v>25</v>
      </c>
    </row>
    <row r="11" spans="1:15" ht="14.5" x14ac:dyDescent="0.35">
      <c r="A11" s="17" t="s">
        <v>48</v>
      </c>
      <c r="B11" s="4" t="str">
        <f t="shared" si="0"/>
        <v>CONN</v>
      </c>
      <c r="C11" s="7" t="str">
        <f>_xlfn.CONCAT('Optimized Data'!$A11," ",'Optimized Data'!$B11)</f>
        <v>AMFI CONN</v>
      </c>
      <c r="D11" s="7" t="s">
        <v>35</v>
      </c>
      <c r="E11" s="7">
        <v>120</v>
      </c>
      <c r="F11" s="8">
        <v>10</v>
      </c>
      <c r="G11" s="14">
        <f>CEILING('Optimized Data'!$F11,10)</f>
        <v>10</v>
      </c>
      <c r="H11" s="8">
        <f>'Optimized Data'!$F11/4</f>
        <v>2.5</v>
      </c>
      <c r="I11" s="15">
        <f>CEILING('Optimized Data'!$H11,10)</f>
        <v>10</v>
      </c>
      <c r="J11" s="16">
        <f>VLOOKUP('Optimized Data'!$A11,Table3[],3,TRUE)</f>
        <v>10</v>
      </c>
      <c r="K11" s="9">
        <f>CEILING('Optimized Data'!$G11/'Optimized Data'!$J11, 1)</f>
        <v>1</v>
      </c>
      <c r="M11" t="s">
        <v>64</v>
      </c>
      <c r="N11" t="s">
        <v>78</v>
      </c>
      <c r="O11">
        <v>100</v>
      </c>
    </row>
    <row r="12" spans="1:15" ht="14.5" x14ac:dyDescent="0.35">
      <c r="A12" s="13" t="s">
        <v>48</v>
      </c>
      <c r="B12" s="4" t="str">
        <f t="shared" si="0"/>
        <v>CONNECTOR</v>
      </c>
      <c r="C12" s="4" t="str">
        <f>_xlfn.CONCAT('Optimized Data'!$A12," ",'Optimized Data'!$B12)</f>
        <v>AMFI CONNECTOR</v>
      </c>
      <c r="D12" s="4" t="s">
        <v>9</v>
      </c>
      <c r="E12" s="4">
        <v>475</v>
      </c>
      <c r="F12" s="5">
        <v>39.583333333333336</v>
      </c>
      <c r="G12" s="14">
        <f>CEILING('Optimized Data'!$F12,10)</f>
        <v>40</v>
      </c>
      <c r="H12" s="5">
        <f>'Optimized Data'!$F12/4</f>
        <v>9.8958333333333339</v>
      </c>
      <c r="I12" s="15">
        <f>CEILING('Optimized Data'!$H12,10)</f>
        <v>10</v>
      </c>
      <c r="J12" s="16">
        <f>VLOOKUP('Optimized Data'!$A12,Table3[],3,TRUE)</f>
        <v>10</v>
      </c>
      <c r="K12" s="6">
        <f>CEILING('Optimized Data'!$G12/'Optimized Data'!$J12, 1)</f>
        <v>4</v>
      </c>
      <c r="M12" t="s">
        <v>67</v>
      </c>
      <c r="N12" t="s">
        <v>68</v>
      </c>
      <c r="O12">
        <v>125</v>
      </c>
    </row>
    <row r="13" spans="1:15" ht="14.5" x14ac:dyDescent="0.35">
      <c r="A13" s="17" t="s">
        <v>48</v>
      </c>
      <c r="B13" s="4" t="str">
        <f t="shared" si="0"/>
        <v>CONNECTOR</v>
      </c>
      <c r="C13" s="7" t="str">
        <f>_xlfn.CONCAT('Optimized Data'!$A13," ",'Optimized Data'!$B13)</f>
        <v>AMFI CONNECTOR</v>
      </c>
      <c r="D13" s="7" t="s">
        <v>11</v>
      </c>
      <c r="E13" s="7">
        <v>410</v>
      </c>
      <c r="F13" s="8">
        <v>34.166666666666664</v>
      </c>
      <c r="G13" s="14">
        <f>CEILING('Optimized Data'!$F13,10)</f>
        <v>40</v>
      </c>
      <c r="H13" s="8">
        <f>'Optimized Data'!$F13/4</f>
        <v>8.5416666666666661</v>
      </c>
      <c r="I13" s="15">
        <f>CEILING('Optimized Data'!$H13,10)</f>
        <v>10</v>
      </c>
      <c r="J13" s="16">
        <f>VLOOKUP('Optimized Data'!$A13,Table3[],3,TRUE)</f>
        <v>10</v>
      </c>
      <c r="K13" s="9">
        <f>CEILING('Optimized Data'!$G13/'Optimized Data'!$J13, 1)</f>
        <v>4</v>
      </c>
      <c r="M13" t="s">
        <v>70</v>
      </c>
      <c r="N13" t="s">
        <v>71</v>
      </c>
      <c r="O13">
        <v>24</v>
      </c>
    </row>
    <row r="14" spans="1:15" ht="14.5" x14ac:dyDescent="0.35">
      <c r="A14" s="13" t="s">
        <v>52</v>
      </c>
      <c r="B14" s="4" t="str">
        <f t="shared" si="0"/>
        <v>BEAM</v>
      </c>
      <c r="C14" s="4" t="str">
        <f>_xlfn.CONCAT('Optimized Data'!$A14," ",'Optimized Data'!$B14)</f>
        <v>APP BEAM</v>
      </c>
      <c r="D14" s="4" t="s">
        <v>4</v>
      </c>
      <c r="E14" s="4">
        <v>1200</v>
      </c>
      <c r="F14" s="5">
        <v>100</v>
      </c>
      <c r="G14" s="14">
        <f>CEILING('Optimized Data'!$F14,10)</f>
        <v>100</v>
      </c>
      <c r="H14" s="5">
        <f>'Optimized Data'!$F14/4</f>
        <v>25</v>
      </c>
      <c r="I14" s="15">
        <f>CEILING('Optimized Data'!$H14,10)</f>
        <v>30</v>
      </c>
      <c r="J14" s="16">
        <f>VLOOKUP('Optimized Data'!$A14,Table3[],3,TRUE)</f>
        <v>25</v>
      </c>
      <c r="K14" s="6">
        <f>CEILING('Optimized Data'!$G14/'Optimized Data'!$J14, 1)</f>
        <v>4</v>
      </c>
      <c r="M14" t="s">
        <v>72</v>
      </c>
      <c r="N14" t="s">
        <v>73</v>
      </c>
      <c r="O14">
        <v>100</v>
      </c>
    </row>
    <row r="15" spans="1:15" ht="14.5" x14ac:dyDescent="0.35">
      <c r="A15" s="17" t="s">
        <v>54</v>
      </c>
      <c r="B15" s="4" t="str">
        <f t="shared" si="0"/>
        <v>CONN</v>
      </c>
      <c r="C15" s="7" t="str">
        <f>_xlfn.CONCAT('Optimized Data'!$A15," ",'Optimized Data'!$B15)</f>
        <v>ARL CONN</v>
      </c>
      <c r="D15" s="7" t="s">
        <v>12</v>
      </c>
      <c r="E15" s="7">
        <v>400</v>
      </c>
      <c r="F15" s="8">
        <v>33.333333333333336</v>
      </c>
      <c r="G15" s="14">
        <f>CEILING('Optimized Data'!$F15,10)</f>
        <v>40</v>
      </c>
      <c r="H15" s="8">
        <f>'Optimized Data'!$F15/4</f>
        <v>8.3333333333333339</v>
      </c>
      <c r="I15" s="15">
        <f>CEILING('Optimized Data'!$H15,10)</f>
        <v>10</v>
      </c>
      <c r="J15" s="16">
        <f>VLOOKUP('Optimized Data'!$A15,Table3[],3,TRUE)</f>
        <v>66</v>
      </c>
      <c r="K15" s="9">
        <f>CEILING('Optimized Data'!$G15/'Optimized Data'!$J15, 1)</f>
        <v>1</v>
      </c>
      <c r="M15" t="s">
        <v>43</v>
      </c>
      <c r="N15" t="s">
        <v>65</v>
      </c>
      <c r="O15">
        <v>100</v>
      </c>
    </row>
    <row r="16" spans="1:15" ht="14.5" x14ac:dyDescent="0.35">
      <c r="A16" s="13" t="s">
        <v>54</v>
      </c>
      <c r="B16" s="4" t="str">
        <f t="shared" si="0"/>
        <v>TERMINATOR</v>
      </c>
      <c r="C16" s="4" t="str">
        <f>_xlfn.CONCAT('Optimized Data'!$A16," ",'Optimized Data'!$B16)</f>
        <v>ARL TERMINATOR</v>
      </c>
      <c r="D16" s="4" t="s">
        <v>36</v>
      </c>
      <c r="E16" s="4">
        <v>118</v>
      </c>
      <c r="F16" s="5">
        <v>9.8333333333333339</v>
      </c>
      <c r="G16" s="14">
        <f>CEILING('Optimized Data'!$F16,10)</f>
        <v>10</v>
      </c>
      <c r="H16" s="5">
        <f>'Optimized Data'!$F16/4</f>
        <v>2.4583333333333335</v>
      </c>
      <c r="I16" s="15">
        <f>CEILING('Optimized Data'!$H16,10)</f>
        <v>10</v>
      </c>
      <c r="J16" s="16">
        <f>VLOOKUP('Optimized Data'!$A16,Table3[],3,TRUE)</f>
        <v>66</v>
      </c>
      <c r="K16" s="6">
        <f>CEILING('Optimized Data'!$G16/'Optimized Data'!$J16, 1)</f>
        <v>1</v>
      </c>
      <c r="M16" t="s">
        <v>83</v>
      </c>
      <c r="N16" t="s">
        <v>84</v>
      </c>
      <c r="O16">
        <v>100</v>
      </c>
    </row>
    <row r="17" spans="1:15" ht="14.5" x14ac:dyDescent="0.35">
      <c r="A17" s="17" t="s">
        <v>54</v>
      </c>
      <c r="B17" s="4" t="str">
        <f t="shared" si="0"/>
        <v>TERMINATOR</v>
      </c>
      <c r="C17" s="7" t="str">
        <f>_xlfn.CONCAT('Optimized Data'!$A17," ",'Optimized Data'!$B17)</f>
        <v>ARL TERMINATOR</v>
      </c>
      <c r="D17" s="7" t="s">
        <v>23</v>
      </c>
      <c r="E17" s="7">
        <v>200</v>
      </c>
      <c r="F17" s="8">
        <v>16.666666666666668</v>
      </c>
      <c r="G17" s="14">
        <f>CEILING('Optimized Data'!$F17,10)</f>
        <v>20</v>
      </c>
      <c r="H17" s="8">
        <f>'Optimized Data'!$F17/4</f>
        <v>4.166666666666667</v>
      </c>
      <c r="I17" s="15">
        <f>CEILING('Optimized Data'!$H17,10)</f>
        <v>10</v>
      </c>
      <c r="J17" s="16">
        <f>VLOOKUP('Optimized Data'!$A17,Table3[],3,TRUE)</f>
        <v>66</v>
      </c>
      <c r="K17" s="9">
        <f>CEILING('Optimized Data'!$G17/'Optimized Data'!$J17, 1)</f>
        <v>1</v>
      </c>
      <c r="M17" t="s">
        <v>90</v>
      </c>
      <c r="N17" t="s">
        <v>91</v>
      </c>
      <c r="O17">
        <v>10</v>
      </c>
    </row>
    <row r="18" spans="1:15" ht="14.5" x14ac:dyDescent="0.35">
      <c r="A18" s="13" t="s">
        <v>54</v>
      </c>
      <c r="B18" s="4" t="str">
        <f t="shared" si="0"/>
        <v>TERMINATOR</v>
      </c>
      <c r="C18" s="4" t="str">
        <f>_xlfn.CONCAT('Optimized Data'!$A18," ",'Optimized Data'!$B18)</f>
        <v>ARL TERMINATOR</v>
      </c>
      <c r="D18" s="4" t="s">
        <v>5</v>
      </c>
      <c r="E18" s="4">
        <v>800</v>
      </c>
      <c r="F18" s="5">
        <v>66.666666666666671</v>
      </c>
      <c r="G18" s="14">
        <f>CEILING('Optimized Data'!$F18,10)</f>
        <v>70</v>
      </c>
      <c r="H18" s="5">
        <f>'Optimized Data'!$F18/4</f>
        <v>16.666666666666668</v>
      </c>
      <c r="I18" s="15">
        <f>CEILING('Optimized Data'!$H18,10)</f>
        <v>20</v>
      </c>
      <c r="J18" s="16">
        <f>VLOOKUP('Optimized Data'!$A18,Table3[],3,TRUE)</f>
        <v>66</v>
      </c>
      <c r="K18" s="6">
        <f>CEILING('Optimized Data'!$G18/'Optimized Data'!$J18, 1)</f>
        <v>2</v>
      </c>
      <c r="M18" t="s">
        <v>87</v>
      </c>
      <c r="N18" t="s">
        <v>88</v>
      </c>
      <c r="O18">
        <v>100</v>
      </c>
    </row>
    <row r="19" spans="1:15" ht="14.5" x14ac:dyDescent="0.35">
      <c r="A19" s="17" t="s">
        <v>54</v>
      </c>
      <c r="B19" s="4" t="str">
        <f t="shared" si="0"/>
        <v>HANGER</v>
      </c>
      <c r="C19" s="7" t="str">
        <f>_xlfn.CONCAT('Optimized Data'!$A19," ",'Optimized Data'!$B19)</f>
        <v>ARL HANGER</v>
      </c>
      <c r="D19" s="7" t="s">
        <v>24</v>
      </c>
      <c r="E19" s="7">
        <v>200</v>
      </c>
      <c r="F19" s="8">
        <v>16.666666666666668</v>
      </c>
      <c r="G19" s="14">
        <f>CEILING('Optimized Data'!$F19,10)</f>
        <v>20</v>
      </c>
      <c r="H19" s="8">
        <f>'Optimized Data'!$F19/4</f>
        <v>4.166666666666667</v>
      </c>
      <c r="I19" s="15">
        <f>CEILING('Optimized Data'!$H19,10)</f>
        <v>10</v>
      </c>
      <c r="J19" s="16">
        <f>VLOOKUP('Optimized Data'!$A19,Table3[],3,TRUE)</f>
        <v>66</v>
      </c>
      <c r="K19" s="9">
        <f>CEILING('Optimized Data'!$G19/'Optimized Data'!$J19, 1)</f>
        <v>1</v>
      </c>
      <c r="M19" t="s">
        <v>85</v>
      </c>
      <c r="N19" t="s">
        <v>86</v>
      </c>
      <c r="O19">
        <v>100</v>
      </c>
    </row>
    <row r="20" spans="1:15" ht="14.5" x14ac:dyDescent="0.35">
      <c r="A20" s="13" t="s">
        <v>54</v>
      </c>
      <c r="B20" s="4" t="str">
        <f t="shared" si="0"/>
        <v>GRIP</v>
      </c>
      <c r="C20" s="4" t="str">
        <f>_xlfn.CONCAT('Optimized Data'!$A20," ",'Optimized Data'!$B20)</f>
        <v>ARL GRIP</v>
      </c>
      <c r="D20" s="4" t="s">
        <v>15</v>
      </c>
      <c r="E20" s="4">
        <v>360</v>
      </c>
      <c r="F20" s="5">
        <v>30</v>
      </c>
      <c r="G20" s="14">
        <f>CEILING('Optimized Data'!$F20,10)</f>
        <v>30</v>
      </c>
      <c r="H20" s="5">
        <f>'Optimized Data'!$F20/4</f>
        <v>7.5</v>
      </c>
      <c r="I20" s="15">
        <f>CEILING('Optimized Data'!$H20,10)</f>
        <v>10</v>
      </c>
      <c r="J20" s="16">
        <f>VLOOKUP('Optimized Data'!$A20,Table3[],3,TRUE)</f>
        <v>66</v>
      </c>
      <c r="K20" s="6">
        <f>CEILING('Optimized Data'!$G20/'Optimized Data'!$J20, 1)</f>
        <v>1</v>
      </c>
      <c r="M20" t="s">
        <v>81</v>
      </c>
      <c r="N20" t="s">
        <v>82</v>
      </c>
      <c r="O20">
        <v>100</v>
      </c>
    </row>
    <row r="21" spans="1:15" ht="14.5" x14ac:dyDescent="0.35">
      <c r="A21" s="17" t="s">
        <v>54</v>
      </c>
      <c r="B21" s="4" t="str">
        <f t="shared" si="0"/>
        <v>GRIP</v>
      </c>
      <c r="C21" s="7" t="str">
        <f>_xlfn.CONCAT('Optimized Data'!$A21," ",'Optimized Data'!$B21)</f>
        <v>ARL GRIP</v>
      </c>
      <c r="D21" s="7" t="s">
        <v>3</v>
      </c>
      <c r="E21" s="7">
        <v>1500</v>
      </c>
      <c r="F21" s="8">
        <v>125</v>
      </c>
      <c r="G21" s="14">
        <f>CEILING('Optimized Data'!$F21,10)</f>
        <v>130</v>
      </c>
      <c r="H21" s="8">
        <f>'Optimized Data'!$F21/4</f>
        <v>31.25</v>
      </c>
      <c r="I21" s="15">
        <f>CEILING('Optimized Data'!$H21,10)</f>
        <v>40</v>
      </c>
      <c r="J21" s="16">
        <f>VLOOKUP('Optimized Data'!$A21,Table3[],3,TRUE)</f>
        <v>66</v>
      </c>
      <c r="K21" s="9">
        <f>CEILING('Optimized Data'!$G21/'Optimized Data'!$J21, 1)</f>
        <v>2</v>
      </c>
      <c r="M21" t="s">
        <v>76</v>
      </c>
      <c r="N21" t="s">
        <v>77</v>
      </c>
      <c r="O21">
        <v>100</v>
      </c>
    </row>
    <row r="22" spans="1:15" ht="14.5" x14ac:dyDescent="0.35">
      <c r="A22" s="13" t="s">
        <v>92</v>
      </c>
      <c r="B22" s="4" t="str">
        <f t="shared" si="0"/>
        <v>CONDUIT</v>
      </c>
      <c r="C22" s="4" t="str">
        <f>_xlfn.CONCAT('Optimized Data'!$A22," ",'Optimized Data'!$B22)</f>
        <v>BRDGPORT CONDUIT</v>
      </c>
      <c r="D22" s="4" t="s">
        <v>21</v>
      </c>
      <c r="E22" s="4">
        <v>205</v>
      </c>
      <c r="F22" s="5">
        <v>17.083333333333332</v>
      </c>
      <c r="G22" s="14">
        <f>CEILING('Optimized Data'!$F22,10)</f>
        <v>20</v>
      </c>
      <c r="H22" s="5">
        <f>'Optimized Data'!$F22/4</f>
        <v>4.270833333333333</v>
      </c>
      <c r="I22" s="15">
        <f>CEILING('Optimized Data'!$H22,10)</f>
        <v>10</v>
      </c>
      <c r="J22" s="16">
        <f>VLOOKUP('Optimized Data'!$A22,Table3[],3,TRUE)</f>
        <v>75</v>
      </c>
      <c r="K22" s="6">
        <f>CEILING('Optimized Data'!$G22/'Optimized Data'!$J22, 1)</f>
        <v>1</v>
      </c>
      <c r="M22" t="s">
        <v>74</v>
      </c>
      <c r="N22" t="s">
        <v>75</v>
      </c>
      <c r="O22">
        <v>25</v>
      </c>
    </row>
    <row r="23" spans="1:15" ht="14.5" x14ac:dyDescent="0.35">
      <c r="A23" s="17" t="s">
        <v>92</v>
      </c>
      <c r="B23" s="4" t="str">
        <f t="shared" si="0"/>
        <v>CONDUIT</v>
      </c>
      <c r="C23" s="7" t="str">
        <f>_xlfn.CONCAT('Optimized Data'!$A23," ",'Optimized Data'!$B23)</f>
        <v>BRDGPORT CONDUIT</v>
      </c>
      <c r="D23" s="7" t="s">
        <v>33</v>
      </c>
      <c r="E23" s="7">
        <v>138</v>
      </c>
      <c r="F23" s="8">
        <v>11.5</v>
      </c>
      <c r="G23" s="14">
        <f>CEILING('Optimized Data'!$F23,10)</f>
        <v>20</v>
      </c>
      <c r="H23" s="8">
        <f>'Optimized Data'!$F23/4</f>
        <v>2.875</v>
      </c>
      <c r="I23" s="15">
        <f>CEILING('Optimized Data'!$H23,10)</f>
        <v>10</v>
      </c>
      <c r="J23" s="16">
        <f>VLOOKUP('Optimized Data'!$A23,Table3[],3,TRUE)</f>
        <v>75</v>
      </c>
      <c r="K23" s="9">
        <f>CEILING('Optimized Data'!$G23/'Optimized Data'!$J23, 1)</f>
        <v>1</v>
      </c>
      <c r="M23" t="s">
        <v>79</v>
      </c>
      <c r="N23" t="s">
        <v>80</v>
      </c>
      <c r="O23">
        <v>12</v>
      </c>
    </row>
    <row r="24" spans="1:15" ht="14.5" x14ac:dyDescent="0.35">
      <c r="A24" s="13" t="s">
        <v>92</v>
      </c>
      <c r="B24" s="4" t="str">
        <f t="shared" si="0"/>
        <v>COND</v>
      </c>
      <c r="C24" s="4" t="str">
        <f>_xlfn.CONCAT('Optimized Data'!$A24," ",'Optimized Data'!$B24)</f>
        <v>BRDGPORT COND</v>
      </c>
      <c r="D24" s="4" t="s">
        <v>34</v>
      </c>
      <c r="E24" s="4">
        <v>128</v>
      </c>
      <c r="F24" s="5">
        <v>10.666666666666666</v>
      </c>
      <c r="G24" s="14">
        <f>CEILING('Optimized Data'!$F24,10)</f>
        <v>20</v>
      </c>
      <c r="H24" s="5">
        <f>'Optimized Data'!$F24/4</f>
        <v>2.6666666666666665</v>
      </c>
      <c r="I24" s="15">
        <f>CEILING('Optimized Data'!$H24,10)</f>
        <v>10</v>
      </c>
      <c r="J24" s="16">
        <f>VLOOKUP('Optimized Data'!$A24,Table3[],3,TRUE)</f>
        <v>75</v>
      </c>
      <c r="K24" s="6">
        <f>CEILING('Optimized Data'!$G24/'Optimized Data'!$J24, 1)</f>
        <v>1</v>
      </c>
      <c r="M24" t="s">
        <v>62</v>
      </c>
      <c r="N24" t="s">
        <v>66</v>
      </c>
      <c r="O24">
        <v>20</v>
      </c>
    </row>
    <row r="25" spans="1:15" ht="14.5" x14ac:dyDescent="0.35">
      <c r="A25" s="17" t="s">
        <v>92</v>
      </c>
      <c r="B25" s="4" t="str">
        <f t="shared" si="0"/>
        <v>INSBSH</v>
      </c>
      <c r="C25" s="7" t="str">
        <f>_xlfn.CONCAT('Optimized Data'!$A25," ",'Optimized Data'!$B25)</f>
        <v>BRDGPORT INSBSH</v>
      </c>
      <c r="D25" s="7" t="s">
        <v>29</v>
      </c>
      <c r="E25" s="7">
        <v>145</v>
      </c>
      <c r="F25" s="8">
        <v>12.083333333333334</v>
      </c>
      <c r="G25" s="14">
        <f>CEILING('Optimized Data'!$F25,10)</f>
        <v>20</v>
      </c>
      <c r="H25" s="8">
        <f>'Optimized Data'!$F25/4</f>
        <v>3.0208333333333335</v>
      </c>
      <c r="I25" s="15">
        <f>CEILING('Optimized Data'!$H25,10)</f>
        <v>10</v>
      </c>
      <c r="J25" s="16">
        <f>VLOOKUP('Optimized Data'!$A25,Table3[],3,TRUE)</f>
        <v>75</v>
      </c>
      <c r="K25" s="9">
        <f>CEILING('Optimized Data'!$G25/'Optimized Data'!$J25, 1)</f>
        <v>1</v>
      </c>
      <c r="M25" t="s">
        <v>63</v>
      </c>
      <c r="N25" t="s">
        <v>40</v>
      </c>
      <c r="O25">
        <v>100</v>
      </c>
    </row>
    <row r="26" spans="1:15" ht="14.5" x14ac:dyDescent="0.35">
      <c r="A26" s="13" t="s">
        <v>92</v>
      </c>
      <c r="B26" s="4" t="str">
        <f t="shared" si="0"/>
        <v>INSBSH</v>
      </c>
      <c r="C26" s="4" t="str">
        <f>_xlfn.CONCAT('Optimized Data'!$A26," ",'Optimized Data'!$B26)</f>
        <v>BRDGPORT INSBSH</v>
      </c>
      <c r="D26" s="4" t="s">
        <v>20</v>
      </c>
      <c r="E26" s="4">
        <v>250</v>
      </c>
      <c r="F26" s="5">
        <v>20.833333333333332</v>
      </c>
      <c r="G26" s="14">
        <f>CEILING('Optimized Data'!$F26,10)</f>
        <v>30</v>
      </c>
      <c r="H26" s="5">
        <f>'Optimized Data'!$F26/4</f>
        <v>5.208333333333333</v>
      </c>
      <c r="I26" s="15">
        <f>CEILING('Optimized Data'!$H26,10)</f>
        <v>10</v>
      </c>
      <c r="J26" s="16">
        <f>VLOOKUP('Optimized Data'!$A26,Table3[],3,TRUE)</f>
        <v>75</v>
      </c>
      <c r="K26" s="6">
        <f>CEILING('Optimized Data'!$G26/'Optimized Data'!$J26, 1)</f>
        <v>1</v>
      </c>
    </row>
    <row r="27" spans="1:15" ht="14.5" x14ac:dyDescent="0.35">
      <c r="A27" s="17" t="s">
        <v>92</v>
      </c>
      <c r="B27" s="4" t="str">
        <f t="shared" si="0"/>
        <v>INSBSH</v>
      </c>
      <c r="C27" s="7" t="str">
        <f>_xlfn.CONCAT('Optimized Data'!$A27," ",'Optimized Data'!$B27)</f>
        <v>BRDGPORT INSBSH</v>
      </c>
      <c r="D27" s="7" t="s">
        <v>25</v>
      </c>
      <c r="E27" s="7">
        <v>185</v>
      </c>
      <c r="F27" s="8">
        <v>15.416666666666666</v>
      </c>
      <c r="G27" s="14">
        <f>CEILING('Optimized Data'!$F27,10)</f>
        <v>20</v>
      </c>
      <c r="H27" s="8">
        <f>'Optimized Data'!$F27/4</f>
        <v>3.8541666666666665</v>
      </c>
      <c r="I27" s="15">
        <f>CEILING('Optimized Data'!$H27,10)</f>
        <v>10</v>
      </c>
      <c r="J27" s="16">
        <f>VLOOKUP('Optimized Data'!$A27,Table3[],3,TRUE)</f>
        <v>75</v>
      </c>
      <c r="K27" s="9">
        <f>CEILING('Optimized Data'!$G27/'Optimized Data'!$J27, 1)</f>
        <v>1</v>
      </c>
    </row>
    <row r="28" spans="1:15" ht="14.5" x14ac:dyDescent="0.35">
      <c r="A28" s="13" t="s">
        <v>92</v>
      </c>
      <c r="B28" s="4" t="str">
        <f t="shared" si="0"/>
        <v>INSBSH</v>
      </c>
      <c r="C28" s="4" t="str">
        <f>_xlfn.CONCAT('Optimized Data'!$A28," ",'Optimized Data'!$B28)</f>
        <v>BRDGPORT INSBSH</v>
      </c>
      <c r="D28" s="4" t="s">
        <v>16</v>
      </c>
      <c r="E28" s="4">
        <v>335</v>
      </c>
      <c r="F28" s="5">
        <v>27.916666666666668</v>
      </c>
      <c r="G28" s="14">
        <f>CEILING('Optimized Data'!$F28,10)</f>
        <v>30</v>
      </c>
      <c r="H28" s="5">
        <f>'Optimized Data'!$F28/4</f>
        <v>6.979166666666667</v>
      </c>
      <c r="I28" s="15">
        <f>CEILING('Optimized Data'!$H28,10)</f>
        <v>10</v>
      </c>
      <c r="J28" s="16">
        <f>VLOOKUP('Optimized Data'!$A28,Table3[],3,TRUE)</f>
        <v>75</v>
      </c>
      <c r="K28" s="6">
        <f>CEILING('Optimized Data'!$G28/'Optimized Data'!$J28, 1)</f>
        <v>1</v>
      </c>
    </row>
    <row r="29" spans="1:15" ht="14.5" x14ac:dyDescent="0.35">
      <c r="A29" s="17" t="s">
        <v>92</v>
      </c>
      <c r="B29" s="4" t="str">
        <f t="shared" si="0"/>
        <v>BSH</v>
      </c>
      <c r="C29" s="7" t="str">
        <f>_xlfn.CONCAT('Optimized Data'!$A29," ",'Optimized Data'!$B29)</f>
        <v>BRDGPORT BSH</v>
      </c>
      <c r="D29" s="7" t="s">
        <v>17</v>
      </c>
      <c r="E29" s="7">
        <v>320</v>
      </c>
      <c r="F29" s="8">
        <v>26.666666666666668</v>
      </c>
      <c r="G29" s="14">
        <f>CEILING('Optimized Data'!$F29,10)</f>
        <v>30</v>
      </c>
      <c r="H29" s="8">
        <f>'Optimized Data'!$F29/4</f>
        <v>6.666666666666667</v>
      </c>
      <c r="I29" s="15">
        <f>CEILING('Optimized Data'!$H29,10)</f>
        <v>10</v>
      </c>
      <c r="J29" s="16">
        <f>VLOOKUP('Optimized Data'!$A29,Table3[],3,TRUE)</f>
        <v>75</v>
      </c>
      <c r="K29" s="9">
        <f>CEILING('Optimized Data'!$G29/'Optimized Data'!$J29, 1)</f>
        <v>1</v>
      </c>
    </row>
    <row r="30" spans="1:15" ht="14.5" x14ac:dyDescent="0.35">
      <c r="A30" s="13" t="s">
        <v>92</v>
      </c>
      <c r="B30" s="4" t="str">
        <f t="shared" si="0"/>
        <v>FLEX</v>
      </c>
      <c r="C30" s="4" t="str">
        <f>_xlfn.CONCAT('Optimized Data'!$A30," ",'Optimized Data'!$B30)</f>
        <v>BRDGPORT FLEX</v>
      </c>
      <c r="D30" s="4" t="s">
        <v>10</v>
      </c>
      <c r="E30" s="4">
        <v>429</v>
      </c>
      <c r="F30" s="5">
        <v>35.75</v>
      </c>
      <c r="G30" s="14">
        <f>CEILING('Optimized Data'!$F30,10)</f>
        <v>40</v>
      </c>
      <c r="H30" s="5">
        <f>'Optimized Data'!$F30/4</f>
        <v>8.9375</v>
      </c>
      <c r="I30" s="15">
        <f>CEILING('Optimized Data'!$H30,10)</f>
        <v>10</v>
      </c>
      <c r="J30" s="16">
        <f>VLOOKUP('Optimized Data'!$A30,Table3[],3,TRUE)</f>
        <v>75</v>
      </c>
      <c r="K30" s="6">
        <f>CEILING('Optimized Data'!$G30/'Optimized Data'!$J30, 1)</f>
        <v>1</v>
      </c>
    </row>
    <row r="31" spans="1:15" ht="14.5" x14ac:dyDescent="0.35">
      <c r="A31" s="17" t="s">
        <v>92</v>
      </c>
      <c r="B31" s="4" t="str">
        <f t="shared" si="0"/>
        <v>FLEX</v>
      </c>
      <c r="C31" s="7" t="str">
        <f>_xlfn.CONCAT('Optimized Data'!$A31," ",'Optimized Data'!$B31)</f>
        <v>BRDGPORT FLEX</v>
      </c>
      <c r="D31" s="7" t="s">
        <v>37</v>
      </c>
      <c r="E31" s="7">
        <v>115</v>
      </c>
      <c r="F31" s="8">
        <v>9.5833333333333339</v>
      </c>
      <c r="G31" s="14">
        <f>CEILING('Optimized Data'!$F31,10)</f>
        <v>10</v>
      </c>
      <c r="H31" s="8">
        <f>'Optimized Data'!$F31/4</f>
        <v>2.3958333333333335</v>
      </c>
      <c r="I31" s="15">
        <f>CEILING('Optimized Data'!$H31,10)</f>
        <v>10</v>
      </c>
      <c r="J31" s="16">
        <f>VLOOKUP('Optimized Data'!$A31,Table3[],3,TRUE)</f>
        <v>75</v>
      </c>
      <c r="K31" s="9">
        <f>CEILING('Optimized Data'!$G31/'Optimized Data'!$J31, 1)</f>
        <v>1</v>
      </c>
    </row>
    <row r="32" spans="1:15" ht="14.5" x14ac:dyDescent="0.35">
      <c r="A32" s="13" t="s">
        <v>92</v>
      </c>
      <c r="B32" s="4" t="str">
        <f t="shared" si="0"/>
        <v>COND</v>
      </c>
      <c r="C32" s="4" t="str">
        <f>_xlfn.CONCAT('Optimized Data'!$A32," ",'Optimized Data'!$B32)</f>
        <v>BRDGPORT COND</v>
      </c>
      <c r="D32" s="4" t="s">
        <v>6</v>
      </c>
      <c r="E32" s="4">
        <v>780</v>
      </c>
      <c r="F32" s="5">
        <v>65</v>
      </c>
      <c r="G32" s="14">
        <f>CEILING('Optimized Data'!$F32,10)</f>
        <v>70</v>
      </c>
      <c r="H32" s="5">
        <f>'Optimized Data'!$F32/4</f>
        <v>16.25</v>
      </c>
      <c r="I32" s="15">
        <f>CEILING('Optimized Data'!$H32,10)</f>
        <v>20</v>
      </c>
      <c r="J32" s="16">
        <f>VLOOKUP('Optimized Data'!$A32,Table3[],3,TRUE)</f>
        <v>75</v>
      </c>
      <c r="K32" s="6">
        <f>CEILING('Optimized Data'!$G32/'Optimized Data'!$J32, 1)</f>
        <v>1</v>
      </c>
    </row>
    <row r="33" spans="1:11" ht="14.5" x14ac:dyDescent="0.35">
      <c r="A33" s="17" t="s">
        <v>92</v>
      </c>
      <c r="B33" s="4" t="str">
        <f t="shared" si="0"/>
        <v>COND</v>
      </c>
      <c r="C33" s="7" t="str">
        <f>_xlfn.CONCAT('Optimized Data'!$A33," ",'Optimized Data'!$B33)</f>
        <v>BRDGPORT COND</v>
      </c>
      <c r="D33" s="7" t="s">
        <v>13</v>
      </c>
      <c r="E33" s="7">
        <v>390</v>
      </c>
      <c r="F33" s="8">
        <v>32.5</v>
      </c>
      <c r="G33" s="14">
        <f>CEILING('Optimized Data'!$F33,10)</f>
        <v>40</v>
      </c>
      <c r="H33" s="8">
        <f>'Optimized Data'!$F33/4</f>
        <v>8.125</v>
      </c>
      <c r="I33" s="15">
        <f>CEILING('Optimized Data'!$H33,10)</f>
        <v>10</v>
      </c>
      <c r="J33" s="16">
        <f>VLOOKUP('Optimized Data'!$A33,Table3[],3,TRUE)</f>
        <v>75</v>
      </c>
      <c r="K33" s="9">
        <f>CEILING('Optimized Data'!$G33/'Optimized Data'!$J33, 1)</f>
        <v>1</v>
      </c>
    </row>
    <row r="34" spans="1:11" ht="14.5" x14ac:dyDescent="0.35">
      <c r="A34" s="13" t="s">
        <v>92</v>
      </c>
      <c r="B34" s="4" t="str">
        <f t="shared" si="0"/>
        <v>COND</v>
      </c>
      <c r="C34" s="4" t="str">
        <f>_xlfn.CONCAT('Optimized Data'!$A34," ",'Optimized Data'!$B34)</f>
        <v>BRDGPORT COND</v>
      </c>
      <c r="D34" s="4" t="s">
        <v>32</v>
      </c>
      <c r="E34" s="4">
        <v>140</v>
      </c>
      <c r="F34" s="5">
        <v>11.666666666666666</v>
      </c>
      <c r="G34" s="14">
        <f>CEILING('Optimized Data'!$F34,10)</f>
        <v>20</v>
      </c>
      <c r="H34" s="5">
        <f>'Optimized Data'!$F34/4</f>
        <v>2.9166666666666665</v>
      </c>
      <c r="I34" s="15">
        <f>CEILING('Optimized Data'!$H34,10)</f>
        <v>10</v>
      </c>
      <c r="J34" s="16">
        <f>VLOOKUP('Optimized Data'!$A34,Table3[],3,TRUE)</f>
        <v>75</v>
      </c>
      <c r="K34" s="6">
        <f>CEILING('Optimized Data'!$G34/'Optimized Data'!$J34, 1)</f>
        <v>1</v>
      </c>
    </row>
    <row r="35" spans="1:11" ht="14.5" x14ac:dyDescent="0.35">
      <c r="A35" s="17" t="s">
        <v>92</v>
      </c>
      <c r="B35" s="4" t="str">
        <f t="shared" si="0"/>
        <v>EMT</v>
      </c>
      <c r="C35" s="7" t="str">
        <f>_xlfn.CONCAT('Optimized Data'!$A35," ",'Optimized Data'!$B35)</f>
        <v>BRDGPORT EMT</v>
      </c>
      <c r="D35" s="7" t="s">
        <v>0</v>
      </c>
      <c r="E35" s="7">
        <v>2110</v>
      </c>
      <c r="F35" s="8">
        <v>175.83333333333334</v>
      </c>
      <c r="G35" s="14">
        <f>CEILING('Optimized Data'!$F35,10)</f>
        <v>180</v>
      </c>
      <c r="H35" s="8">
        <f>'Optimized Data'!$F35/4</f>
        <v>43.958333333333336</v>
      </c>
      <c r="I35" s="15">
        <f>CEILING('Optimized Data'!$H35,10)</f>
        <v>50</v>
      </c>
      <c r="J35" s="16">
        <f>VLOOKUP('Optimized Data'!$A35,Table3[],3,TRUE)</f>
        <v>75</v>
      </c>
      <c r="K35" s="9">
        <f>CEILING('Optimized Data'!$G35/'Optimized Data'!$J35, 1)</f>
        <v>3</v>
      </c>
    </row>
    <row r="36" spans="1:11" ht="14.5" x14ac:dyDescent="0.35">
      <c r="A36" s="13" t="s">
        <v>92</v>
      </c>
      <c r="B36" s="4" t="str">
        <f t="shared" si="0"/>
        <v>EMT</v>
      </c>
      <c r="C36" s="4" t="str">
        <f>_xlfn.CONCAT('Optimized Data'!$A36," ",'Optimized Data'!$B36)</f>
        <v>BRDGPORT EMT</v>
      </c>
      <c r="D36" s="4" t="s">
        <v>2</v>
      </c>
      <c r="E36" s="4">
        <v>2000</v>
      </c>
      <c r="F36" s="5">
        <v>166.66666666666666</v>
      </c>
      <c r="G36" s="14">
        <f>CEILING('Optimized Data'!$F36,10)</f>
        <v>170</v>
      </c>
      <c r="H36" s="5">
        <f>'Optimized Data'!$F36/4</f>
        <v>41.666666666666664</v>
      </c>
      <c r="I36" s="15">
        <f>CEILING('Optimized Data'!$H36,10)</f>
        <v>50</v>
      </c>
      <c r="J36" s="16">
        <f>VLOOKUP('Optimized Data'!$A36,Table3[],3,TRUE)</f>
        <v>75</v>
      </c>
      <c r="K36" s="6">
        <f>CEILING('Optimized Data'!$G36/'Optimized Data'!$J36, 1)</f>
        <v>3</v>
      </c>
    </row>
    <row r="37" spans="1:11" ht="14.5" x14ac:dyDescent="0.35">
      <c r="A37" s="17" t="s">
        <v>92</v>
      </c>
      <c r="B37" s="4" t="str">
        <f t="shared" si="0"/>
        <v>EMT</v>
      </c>
      <c r="C37" s="7" t="str">
        <f>_xlfn.CONCAT('Optimized Data'!$A37," ",'Optimized Data'!$B37)</f>
        <v>BRDGPORT EMT</v>
      </c>
      <c r="D37" s="7" t="s">
        <v>14</v>
      </c>
      <c r="E37" s="7">
        <v>375</v>
      </c>
      <c r="F37" s="8">
        <v>31.25</v>
      </c>
      <c r="G37" s="14">
        <f>CEILING('Optimized Data'!$F37,10)</f>
        <v>40</v>
      </c>
      <c r="H37" s="8">
        <f>'Optimized Data'!$F37/4</f>
        <v>7.8125</v>
      </c>
      <c r="I37" s="15">
        <f>CEILING('Optimized Data'!$H37,10)</f>
        <v>10</v>
      </c>
      <c r="J37" s="16">
        <f>VLOOKUP('Optimized Data'!$A37,Table3[],3,TRUE)</f>
        <v>75</v>
      </c>
      <c r="K37" s="9">
        <f>CEILING('Optimized Data'!$G37/'Optimized Data'!$J37, 1)</f>
        <v>1</v>
      </c>
    </row>
    <row r="38" spans="1:11" ht="14.5" x14ac:dyDescent="0.35">
      <c r="A38" s="13" t="s">
        <v>92</v>
      </c>
      <c r="B38" s="4" t="str">
        <f t="shared" si="0"/>
        <v>EMT</v>
      </c>
      <c r="C38" s="4" t="str">
        <f>_xlfn.CONCAT('Optimized Data'!$A38," ",'Optimized Data'!$B38)</f>
        <v>BRDGPORT EMT</v>
      </c>
      <c r="D38" s="4" t="s">
        <v>38</v>
      </c>
      <c r="E38" s="4">
        <v>110</v>
      </c>
      <c r="F38" s="5">
        <v>9.1666666666666661</v>
      </c>
      <c r="G38" s="14">
        <f>CEILING('Optimized Data'!$F38,10)</f>
        <v>10</v>
      </c>
      <c r="H38" s="5">
        <f>'Optimized Data'!$F38/4</f>
        <v>2.2916666666666665</v>
      </c>
      <c r="I38" s="15">
        <f>CEILING('Optimized Data'!$H38,10)</f>
        <v>10</v>
      </c>
      <c r="J38" s="16">
        <f>VLOOKUP('Optimized Data'!$A38,Table3[],3,TRUE)</f>
        <v>75</v>
      </c>
      <c r="K38" s="6">
        <f>CEILING('Optimized Data'!$G38/'Optimized Data'!$J38, 1)</f>
        <v>1</v>
      </c>
    </row>
    <row r="39" spans="1:11" ht="14.5" x14ac:dyDescent="0.35">
      <c r="A39" s="17" t="s">
        <v>56</v>
      </c>
      <c r="B39" s="4" t="str">
        <f t="shared" si="0"/>
        <v>CABLE</v>
      </c>
      <c r="C39" s="7" t="str">
        <f>_xlfn.CONCAT('Optimized Data'!$A39," ",'Optimized Data'!$B39)</f>
        <v>CABLE CABLE</v>
      </c>
      <c r="D39" s="7" t="s">
        <v>7</v>
      </c>
      <c r="E39" s="7">
        <v>750</v>
      </c>
      <c r="F39" s="8">
        <v>62.5</v>
      </c>
      <c r="G39" s="14">
        <f>CEILING('Optimized Data'!$F39,10)</f>
        <v>70</v>
      </c>
      <c r="H39" s="8">
        <f>'Optimized Data'!$F39/4</f>
        <v>15.625</v>
      </c>
      <c r="I39" s="15">
        <f>CEILING('Optimized Data'!$H39,10)</f>
        <v>20</v>
      </c>
      <c r="J39" s="16">
        <f>VLOOKUP('Optimized Data'!$A39,Table3[],3,TRUE)</f>
        <v>250</v>
      </c>
      <c r="K39" s="9">
        <f>CEILING('Optimized Data'!$G39/'Optimized Data'!$J39, 1)</f>
        <v>1</v>
      </c>
    </row>
    <row r="40" spans="1:11" ht="14.5" x14ac:dyDescent="0.35">
      <c r="A40" s="13" t="s">
        <v>56</v>
      </c>
      <c r="B40" s="4" t="str">
        <f t="shared" si="0"/>
        <v>CABLE</v>
      </c>
      <c r="C40" s="4" t="str">
        <f>_xlfn.CONCAT('Optimized Data'!$A40," ",'Optimized Data'!$B40)</f>
        <v>CABLE CABLE</v>
      </c>
      <c r="D40" s="4" t="s">
        <v>19</v>
      </c>
      <c r="E40" s="4">
        <v>250</v>
      </c>
      <c r="F40" s="5">
        <v>20.833333333333332</v>
      </c>
      <c r="G40" s="14">
        <f>CEILING('Optimized Data'!$F40,10)</f>
        <v>30</v>
      </c>
      <c r="H40" s="5">
        <f>'Optimized Data'!$F40/4</f>
        <v>5.208333333333333</v>
      </c>
      <c r="I40" s="15">
        <f>CEILING('Optimized Data'!$H40,10)</f>
        <v>10</v>
      </c>
      <c r="J40" s="16">
        <f>VLOOKUP('Optimized Data'!$A40,Table3[],3,TRUE)</f>
        <v>250</v>
      </c>
      <c r="K40" s="6">
        <f>CEILING('Optimized Data'!$G40/'Optimized Data'!$J40, 1)</f>
        <v>1</v>
      </c>
    </row>
  </sheetData>
  <phoneticPr fontId="1" type="noConversion"/>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039C20F-E180-4FA2-8BEE-DF24B0A0588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Optimized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fileshare</dc:creator>
  <cp:lastModifiedBy>Colin Waddle</cp:lastModifiedBy>
  <dcterms:created xsi:type="dcterms:W3CDTF">2025-01-23T12:46:48Z</dcterms:created>
  <dcterms:modified xsi:type="dcterms:W3CDTF">2026-01-14T16:33:54Z</dcterms:modified>
</cp:coreProperties>
</file>