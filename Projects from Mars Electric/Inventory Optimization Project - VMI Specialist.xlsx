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2c94\OneDrive\Desktop\Careers\Waddle Portfolio\data-portfolio\Projects from Mars Electric\"/>
    </mc:Choice>
  </mc:AlternateContent>
  <xr:revisionPtr revIDLastSave="0" documentId="13_ncr:1_{0BC3D09D-B3CD-49B0-8B6D-6088379E2EB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ptimized 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2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H2" i="4"/>
  <c r="I2" i="4" s="1"/>
  <c r="H3" i="4"/>
  <c r="I3" i="4" s="1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C9" i="4"/>
  <c r="K29" i="4" l="1"/>
  <c r="K27" i="4"/>
  <c r="K11" i="4"/>
  <c r="K26" i="4"/>
  <c r="K10" i="4"/>
  <c r="K25" i="4"/>
  <c r="K9" i="4"/>
  <c r="K40" i="4"/>
  <c r="K24" i="4"/>
  <c r="K8" i="4"/>
  <c r="K39" i="4"/>
  <c r="K23" i="4"/>
  <c r="K7" i="4"/>
  <c r="K38" i="4"/>
  <c r="K22" i="4"/>
  <c r="K6" i="4"/>
  <c r="K37" i="4"/>
  <c r="K21" i="4"/>
  <c r="K5" i="4"/>
  <c r="K36" i="4"/>
  <c r="K20" i="4"/>
  <c r="K4" i="4"/>
  <c r="K35" i="4"/>
  <c r="K19" i="4"/>
  <c r="K3" i="4"/>
  <c r="K34" i="4"/>
  <c r="K18" i="4"/>
  <c r="K2" i="4"/>
  <c r="K33" i="4"/>
  <c r="K17" i="4"/>
  <c r="K32" i="4"/>
  <c r="K16" i="4"/>
  <c r="K31" i="4"/>
  <c r="K15" i="4"/>
  <c r="K30" i="4"/>
  <c r="K14" i="4"/>
  <c r="K13" i="4"/>
  <c r="K28" i="4"/>
  <c r="K12" i="4"/>
  <c r="C31" i="4"/>
  <c r="C15" i="4"/>
  <c r="C7" i="4"/>
  <c r="C39" i="4"/>
  <c r="C23" i="4"/>
  <c r="C5" i="4"/>
  <c r="C37" i="4"/>
  <c r="C21" i="4"/>
  <c r="C2" i="4"/>
  <c r="C10" i="4"/>
  <c r="C8" i="4"/>
  <c r="C3" i="4"/>
  <c r="C40" i="4"/>
  <c r="C24" i="4"/>
  <c r="C36" i="4"/>
  <c r="C27" i="4"/>
  <c r="C34" i="4"/>
  <c r="C26" i="4"/>
  <c r="C18" i="4"/>
  <c r="C4" i="4"/>
  <c r="C11" i="4"/>
  <c r="C20" i="4"/>
  <c r="C19" i="4"/>
  <c r="C35" i="4"/>
  <c r="C25" i="4"/>
  <c r="C38" i="4"/>
  <c r="C22" i="4"/>
  <c r="C6" i="4"/>
  <c r="C32" i="4"/>
  <c r="C16" i="4"/>
  <c r="C28" i="4"/>
  <c r="C12" i="4"/>
  <c r="C13" i="4"/>
  <c r="C29" i="4"/>
  <c r="C30" i="4"/>
  <c r="C14" i="4"/>
  <c r="C33" i="4"/>
  <c r="C1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CB9BFF-9E40-4604-A5D9-2AF3DECF1CB6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CBB1928F-6B8C-4921-AD97-2EEFFEA9B029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  <connection id="3" xr16:uid="{B181B546-F2D1-4CB3-B41E-338EBB55740E}" keepAlive="1" name="Query - Data (3)" description="Connection to the 'Data (3)' query in the workbook." type="5" refreshedVersion="8" background="1" saveData="1">
    <dbPr connection="Provider=Microsoft.Mashup.OleDb.1;Data Source=$Workbook$;Location=&quot;Data (3)&quot;;Extended Properties=&quot;&quot;" command="SELECT * FROM [Data (3)]"/>
  </connection>
</connections>
</file>

<file path=xl/sharedStrings.xml><?xml version="1.0" encoding="utf-8"?>
<sst xmlns="http://schemas.openxmlformats.org/spreadsheetml/2006/main" count="140" uniqueCount="98">
  <si>
    <t>BRDGPORT 920-S 1/2 1H STEEL EMT</t>
  </si>
  <si>
    <t>3M 33+SUPER-3/4X76FT VINYL TAPE</t>
  </si>
  <si>
    <t>BRDGPORT 921-S 3/4 1H STEEL EMT</t>
  </si>
  <si>
    <t>ARL SG380AST 3/8 SADDLE GRIP</t>
  </si>
  <si>
    <t>APP BH-500 1/4-20 TAPPED BEAM</t>
  </si>
  <si>
    <t>ARL EMT75 3/4IN NM TERMINATOR</t>
  </si>
  <si>
    <t>BRDGPORT 901-S 1/2 1H STEEL COND</t>
  </si>
  <si>
    <t>CABLE MC-AL-12/2-STR-W/GRN-GND 120V</t>
  </si>
  <si>
    <t>3M 88-SUPER-3/4X66FT ELECT TAPE</t>
  </si>
  <si>
    <t>AMFI STR50 1/2 L/T REUSE CONNECTOR</t>
  </si>
  <si>
    <t>BRDGPORT 407-DC2 1/2 D/C SQZ FLEX</t>
  </si>
  <si>
    <t>AMFI STR75 3/4 L/T REUSE CONNECTOR</t>
  </si>
  <si>
    <t>ARL 38AST 3/8 INSUL FLEX CBL CONN</t>
  </si>
  <si>
    <t>BRDGPORT 902-S 3/4 1H STEEL COND</t>
  </si>
  <si>
    <t>BRDGPORT 922-S 1-IN 1H STEEL EMT</t>
  </si>
  <si>
    <t>ARL SG38 3/8 SADDLE GRIP</t>
  </si>
  <si>
    <t>BRDGPORT 324 1-1/4 105D PLS INSBSH</t>
  </si>
  <si>
    <t>BRDGPORT 326 2IN 105D PLSTC INS BSH</t>
  </si>
  <si>
    <t>3M TEMFLEX 165BK4A VINYL</t>
  </si>
  <si>
    <t>CABLE MC-AL-12/3-STR-W/GRN-GND 120V</t>
  </si>
  <si>
    <t>BRDGPORT 322 3/4 105D PLSTC INS</t>
  </si>
  <si>
    <t>BRDGPORT 1102-DC 1/2 D/C CONDUIT</t>
  </si>
  <si>
    <t>3M SI-1 CABLE STACKER</t>
  </si>
  <si>
    <t>ARL EMT50 1/2 NM TERMINATOR</t>
  </si>
  <si>
    <t>ARL NM2015 3/4 NM RIGID PIPE HANGER</t>
  </si>
  <si>
    <t>BRDGPORT 323 1IN 105D PLSTC INSBSH</t>
  </si>
  <si>
    <t>3M 35-WHITE-3/4X66FT CODING TAPE</t>
  </si>
  <si>
    <t>AMFI RB7550 3/4X1/2 RED BUSHING</t>
  </si>
  <si>
    <t>3M 3939-48MMX54.8M SILVER DUCT TAPE</t>
  </si>
  <si>
    <t>BRDGPORT 321 1/2 105D PLSTC INSBSH</t>
  </si>
  <si>
    <t>AMF NT2751 3/4 RIGID COMP CONN</t>
  </si>
  <si>
    <t>3M 35-RED-3/4X66FT CODING TAPE</t>
  </si>
  <si>
    <t>BRDGPORT 903-S 1-IN 1H STEEL COND</t>
  </si>
  <si>
    <t>BRDGPORT 1103-DC 3/4 D/C CONDUIT</t>
  </si>
  <si>
    <t>BRDGPORT 1520-DC 1/2 OFFSET COND</t>
  </si>
  <si>
    <t>AMFI STR100 1IN L/T REUSE CONN</t>
  </si>
  <si>
    <t>ARL EMT125 1-1/4 NM TERMINATOR</t>
  </si>
  <si>
    <t>BRDGPORT 801-DC2 3/8 D/C 90D FLEX</t>
  </si>
  <si>
    <t>BRDGPORT 923-S 1-1/4 1H STEEL EMT</t>
  </si>
  <si>
    <t>Per Month</t>
  </si>
  <si>
    <t>Sealtite</t>
  </si>
  <si>
    <t>Product Name</t>
  </si>
  <si>
    <t>Category</t>
  </si>
  <si>
    <t>FLEX</t>
  </si>
  <si>
    <t>Brand</t>
  </si>
  <si>
    <t>Combined</t>
  </si>
  <si>
    <t>Brand Name</t>
  </si>
  <si>
    <t>Tape</t>
  </si>
  <si>
    <t>AMFI</t>
  </si>
  <si>
    <t>Steel Connector</t>
  </si>
  <si>
    <t>3M</t>
  </si>
  <si>
    <t>Box Qty</t>
  </si>
  <si>
    <t>APP</t>
  </si>
  <si>
    <t>BC</t>
  </si>
  <si>
    <t>ARL</t>
  </si>
  <si>
    <t>Fittings</t>
  </si>
  <si>
    <t>CABLE</t>
  </si>
  <si>
    <t xml:space="preserve">MC </t>
  </si>
  <si>
    <t>CARLON</t>
  </si>
  <si>
    <t>Carflex</t>
  </si>
  <si>
    <t>CCHC Box</t>
  </si>
  <si>
    <t>Metal Boxes</t>
  </si>
  <si>
    <t>RIG CPLG</t>
  </si>
  <si>
    <t>SEALTITE</t>
  </si>
  <si>
    <t>CONDUIT</t>
  </si>
  <si>
    <t>Al Flex</t>
  </si>
  <si>
    <t>Rigid Coupling</t>
  </si>
  <si>
    <t>CTX</t>
  </si>
  <si>
    <t>PVC Fittings</t>
  </si>
  <si>
    <t>Per Week</t>
  </si>
  <si>
    <t>DUR</t>
  </si>
  <si>
    <t>Battery</t>
  </si>
  <si>
    <t>ERC</t>
  </si>
  <si>
    <t>Caddy</t>
  </si>
  <si>
    <t>RACO</t>
  </si>
  <si>
    <t>Boxes</t>
  </si>
  <si>
    <t>PVC</t>
  </si>
  <si>
    <t>PVC Pipe</t>
  </si>
  <si>
    <t>Pipe (Rigid/Emt)</t>
  </si>
  <si>
    <t>Rec</t>
  </si>
  <si>
    <t>Glue</t>
  </si>
  <si>
    <t>P-STRUT</t>
  </si>
  <si>
    <t>Strut Fittings</t>
  </si>
  <si>
    <t>IDEAL</t>
  </si>
  <si>
    <t>Tie Wraps</t>
  </si>
  <si>
    <t>MULB</t>
  </si>
  <si>
    <t>Reducers/Fittings</t>
  </si>
  <si>
    <t>M&amp;W</t>
  </si>
  <si>
    <t>KO's</t>
  </si>
  <si>
    <t>CCHC</t>
  </si>
  <si>
    <t>LEV</t>
  </si>
  <si>
    <t>Receptacle/Plates</t>
  </si>
  <si>
    <t>BRDGPORT</t>
  </si>
  <si>
    <t># of Boxes Used - Monthly</t>
  </si>
  <si>
    <t>OPTIMIZED MONTHLY</t>
  </si>
  <si>
    <t>OPTIMIZED WEEKLY</t>
  </si>
  <si>
    <t>Total Quantity - Annual</t>
  </si>
  <si>
    <t>Straps/Bushings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</si>
</sst>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Tahoma"/>
    </font>
    <font>
      <sz val="8"/>
      <name val="Tahoma"/>
    </font>
    <font>
      <sz val="10"/>
      <name val="Tahoma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0"/>
      <color theme="0"/>
      <name val="Tahoma"/>
    </font>
    <font>
      <b/>
      <sz val="11"/>
      <color rgb="FF006100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10"/>
      <color theme="1"/>
      <name val="Tahoma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1" applyNumberFormat="0" applyAlignment="0" applyProtection="0"/>
    <xf numFmtId="0" fontId="2" fillId="5" borderId="2" applyNumberFormat="0" applyFont="0" applyAlignment="0" applyProtection="0"/>
    <xf numFmtId="0" fontId="10" fillId="8" borderId="0" applyNumberFormat="0" applyBorder="0" applyAlignment="0" applyProtection="0"/>
  </cellStyleXfs>
  <cellXfs count="19">
    <xf numFmtId="0" fontId="0" fillId="0" borderId="0" xfId="0"/>
    <xf numFmtId="0" fontId="6" fillId="6" borderId="3" xfId="0" applyFont="1" applyFill="1" applyBorder="1"/>
    <xf numFmtId="1" fontId="6" fillId="6" borderId="3" xfId="0" applyNumberFormat="1" applyFont="1" applyFill="1" applyBorder="1"/>
    <xf numFmtId="0" fontId="6" fillId="6" borderId="6" xfId="0" applyFont="1" applyFill="1" applyBorder="1"/>
    <xf numFmtId="0" fontId="9" fillId="7" borderId="3" xfId="0" applyFont="1" applyFill="1" applyBorder="1"/>
    <xf numFmtId="1" fontId="9" fillId="7" borderId="3" xfId="0" applyNumberFormat="1" applyFont="1" applyFill="1" applyBorder="1"/>
    <xf numFmtId="0" fontId="9" fillId="7" borderId="6" xfId="0" applyFont="1" applyFill="1" applyBorder="1"/>
    <xf numFmtId="0" fontId="9" fillId="0" borderId="3" xfId="0" applyFont="1" applyBorder="1"/>
    <xf numFmtId="1" fontId="9" fillId="0" borderId="3" xfId="0" applyNumberFormat="1" applyFont="1" applyBorder="1"/>
    <xf numFmtId="0" fontId="9" fillId="0" borderId="6" xfId="0" applyFont="1" applyBorder="1"/>
    <xf numFmtId="0" fontId="6" fillId="6" borderId="7" xfId="0" applyFont="1" applyFill="1" applyBorder="1"/>
    <xf numFmtId="0" fontId="7" fillId="2" borderId="4" xfId="1" applyFont="1" applyBorder="1"/>
    <xf numFmtId="0" fontId="8" fillId="4" borderId="5" xfId="3" applyFont="1" applyBorder="1"/>
    <xf numFmtId="0" fontId="9" fillId="7" borderId="7" xfId="0" applyFont="1" applyFill="1" applyBorder="1"/>
    <xf numFmtId="1" fontId="4" fillId="3" borderId="3" xfId="2" applyNumberFormat="1" applyBorder="1"/>
    <xf numFmtId="0" fontId="9" fillId="5" borderId="4" xfId="4" applyFont="1" applyBorder="1"/>
    <xf numFmtId="0" fontId="5" fillId="4" borderId="5" xfId="3" applyBorder="1"/>
    <xf numFmtId="0" fontId="9" fillId="0" borderId="7" xfId="0" applyFont="1" applyBorder="1"/>
    <xf numFmtId="0" fontId="10" fillId="8" borderId="3" xfId="5" applyBorder="1"/>
  </cellXfs>
  <cellStyles count="6">
    <cellStyle name="Bad" xfId="5" builtinId="27"/>
    <cellStyle name="Good" xfId="1" builtinId="26"/>
    <cellStyle name="Input" xfId="3" builtinId="20"/>
    <cellStyle name="Neutral" xfId="2" builtinId="28"/>
    <cellStyle name="Normal" xfId="0" builtinId="0"/>
    <cellStyle name="Note" xfId="4" builtinId="1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D0F0F7"/>
      <rgbColor rgb="FF28FFD4"/>
      <rgbColor rgb="FFEEEFEF"/>
      <rgbColor rgb="FFEE340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26</xdr:row>
      <xdr:rowOff>12698</xdr:rowOff>
    </xdr:from>
    <xdr:to>
      <xdr:col>15</xdr:col>
      <xdr:colOff>495300</xdr:colOff>
      <xdr:row>44</xdr:row>
      <xdr:rowOff>95249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06D076-1887-3FAD-2C26-D3816C3EE945}"/>
            </a:ext>
          </a:extLst>
        </xdr:cNvPr>
        <xdr:cNvSpPr txBox="1"/>
      </xdr:nvSpPr>
      <xdr:spPr>
        <a:xfrm>
          <a:off x="14001750" y="4965698"/>
          <a:ext cx="4800600" cy="339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Inventory</a:t>
          </a:r>
          <a:r>
            <a:rPr lang="en-US" sz="1100" b="1" baseline="0"/>
            <a:t> Optimization Project - Mars Electric</a:t>
          </a:r>
        </a:p>
        <a:p>
          <a:endParaRPr lang="en-US" sz="1100" b="1" baseline="0"/>
        </a:p>
        <a:p>
          <a:r>
            <a:rPr lang="en-US"/>
            <a:t>Faced with recurring shortage complaints from a key client, I designed a data-driven inventory max system to replace informal, word-of-mouth stock estimates. Previously, I visited the client three times per week to place replenishment orders and completed same-day deliveries every other week to accommodate unexpected shortages.</a:t>
          </a:r>
        </a:p>
        <a:p>
          <a:r>
            <a:rPr lang="en-US"/>
            <a:t>While the original estimates proved directionally accurate, my analysis validated their logic and shifted the conversation,</a:t>
          </a:r>
          <a:r>
            <a:rPr lang="en-US" baseline="0"/>
            <a:t> </a:t>
          </a:r>
          <a:r>
            <a:rPr lang="en-US"/>
            <a:t>prompting the client to investigate internal causes for stockouts rather than placing blame externally. As part of this process, I also flagged products averaging fewer than 20 units per month (or fewer than 5 per week) for phase-out from customer inventory, reducing unnecessary SKU complexity and improving overall stock discipline. This not only built trust but also improved collaboration.</a:t>
          </a:r>
        </a:p>
        <a:p>
          <a:r>
            <a:rPr lang="en-US"/>
            <a:t>By implementing “optimized weekly” columns to define new inventory maxes, it instantly cut same-day deliveries by half, saving $1,500+. With full implementation, this new layout could save close to $10,000 annually. All in all, this new blueprint satisfies the needs of the customer and Mars without compromise.</a:t>
          </a:r>
        </a:p>
      </xdr:txBody>
    </xdr:sp>
    <xdr:clientData/>
  </xdr:twoCellAnchor>
  <xdr:twoCellAnchor>
    <xdr:from>
      <xdr:col>11</xdr:col>
      <xdr:colOff>88901</xdr:colOff>
      <xdr:row>96</xdr:row>
      <xdr:rowOff>120651</xdr:rowOff>
    </xdr:from>
    <xdr:to>
      <xdr:col>13</xdr:col>
      <xdr:colOff>615951</xdr:colOff>
      <xdr:row>105</xdr:row>
      <xdr:rowOff>57151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45F6A5-DD4D-BDE6-0610-FFDD1B7E60AF}"/>
            </a:ext>
          </a:extLst>
        </xdr:cNvPr>
        <xdr:cNvSpPr txBox="1"/>
      </xdr:nvSpPr>
      <xdr:spPr>
        <a:xfrm>
          <a:off x="14020801" y="16376651"/>
          <a:ext cx="3695700" cy="1365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EDE0E0-395F-4222-816B-838049165841}" name="Table3" displayName="Table3" ref="M1:O25" totalsRowShown="0">
  <autoFilter ref="M1:O25" xr:uid="{1CEDE0E0-395F-4222-816B-838049165841}"/>
  <sortState xmlns:xlrd2="http://schemas.microsoft.com/office/spreadsheetml/2017/richdata2" ref="M2:O25">
    <sortCondition ref="M1:M25"/>
  </sortState>
  <tableColumns count="3">
    <tableColumn id="1" xr3:uid="{EED83FD9-1065-43CF-8A49-999EFDDE4508}" name="Brand Name"/>
    <tableColumn id="2" xr3:uid="{90F45CCB-E92F-4981-9115-CBDB15D2DE19}" name="Category"/>
    <tableColumn id="3" xr3:uid="{000F3D31-0864-401D-9A0F-69A5569E8760}" name="Box Q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B7BB-3E39-4FE8-B616-C239858AE6AC}">
  <dimension ref="A1:O40"/>
  <sheetViews>
    <sheetView tabSelected="1" topLeftCell="C1" workbookViewId="0">
      <selection activeCell="E51" sqref="E50:E51"/>
    </sheetView>
  </sheetViews>
  <sheetFormatPr defaultRowHeight="12.75" x14ac:dyDescent="0.2"/>
  <cols>
    <col min="1" max="2" width="14.140625" customWidth="1"/>
    <col min="3" max="3" width="16.85546875" customWidth="1"/>
    <col min="4" max="4" width="36" bestFit="1" customWidth="1"/>
    <col min="5" max="5" width="23" bestFit="1" customWidth="1"/>
    <col min="6" max="6" width="12.85546875" bestFit="1" customWidth="1"/>
    <col min="7" max="7" width="23.7109375" bestFit="1" customWidth="1"/>
    <col min="8" max="8" width="12.85546875" customWidth="1"/>
    <col min="9" max="9" width="22.140625" bestFit="1" customWidth="1"/>
    <col min="10" max="12" width="15.140625" customWidth="1"/>
    <col min="13" max="13" width="30.140625" customWidth="1"/>
    <col min="14" max="14" width="13.85546875" bestFit="1" customWidth="1"/>
    <col min="15" max="15" width="9.42578125" bestFit="1" customWidth="1"/>
  </cols>
  <sheetData>
    <row r="1" spans="1:15" ht="15" x14ac:dyDescent="0.25">
      <c r="A1" s="10" t="s">
        <v>44</v>
      </c>
      <c r="B1" s="1" t="s">
        <v>42</v>
      </c>
      <c r="C1" s="1" t="s">
        <v>45</v>
      </c>
      <c r="D1" s="1" t="s">
        <v>41</v>
      </c>
      <c r="E1" s="1" t="s">
        <v>96</v>
      </c>
      <c r="F1" s="2" t="s">
        <v>39</v>
      </c>
      <c r="G1" s="2" t="s">
        <v>94</v>
      </c>
      <c r="H1" s="2" t="s">
        <v>69</v>
      </c>
      <c r="I1" s="11" t="s">
        <v>95</v>
      </c>
      <c r="J1" s="12" t="s">
        <v>51</v>
      </c>
      <c r="K1" s="3" t="s">
        <v>93</v>
      </c>
      <c r="M1" t="s">
        <v>46</v>
      </c>
      <c r="N1" t="s">
        <v>42</v>
      </c>
      <c r="O1" t="s">
        <v>51</v>
      </c>
    </row>
    <row r="2" spans="1:15" ht="15" x14ac:dyDescent="0.25">
      <c r="A2" s="13" t="s">
        <v>50</v>
      </c>
      <c r="B2" s="4" t="str">
        <f>_xlfn.LET(
  _xlpm.txt, D2,
  _xlpm.last, TRIM(RIGHT(SUBSTITUTE(_xlpm.txt," ",REPT(" ",LEN(_xlpm.txt))),LEN(_xlpm.txt))),
  IF(ISNUMBER(SEARCH("INSBSH",_xlpm.txt)),"INSBSH",
     IF(_xlpm.last="INS","INSBSH",
        IF(_xlpm.last="120V","CABLE",_xlpm.last)
     )
  )
)</f>
        <v>TAPE</v>
      </c>
      <c r="C2" s="4" t="str">
        <f>_xlfn.CONCAT('Optimized Data'!$A2," ",'Optimized Data'!$B2)</f>
        <v>3M TAPE</v>
      </c>
      <c r="D2" s="4" t="s">
        <v>1</v>
      </c>
      <c r="E2" s="4">
        <v>2079</v>
      </c>
      <c r="F2" s="5">
        <v>173.25</v>
      </c>
      <c r="G2" s="14">
        <f>CEILING('Optimized Data'!$F2,10)</f>
        <v>180</v>
      </c>
      <c r="H2" s="5">
        <f>'Optimized Data'!$F2/4</f>
        <v>43.3125</v>
      </c>
      <c r="I2" s="15">
        <f>CEILING('Optimized Data'!$H2,10)</f>
        <v>50</v>
      </c>
      <c r="J2" s="16">
        <f>VLOOKUP('Optimized Data'!$A2,Table3[],3,TRUE)</f>
        <v>10</v>
      </c>
      <c r="K2" s="6">
        <f>CEILING('Optimized Data'!$G2/'Optimized Data'!$J2, 1)</f>
        <v>18</v>
      </c>
      <c r="M2" t="s">
        <v>50</v>
      </c>
      <c r="N2" t="s">
        <v>47</v>
      </c>
      <c r="O2">
        <v>10</v>
      </c>
    </row>
    <row r="3" spans="1:15" ht="15" x14ac:dyDescent="0.25">
      <c r="A3" s="17" t="s">
        <v>50</v>
      </c>
      <c r="B3" s="4" t="str">
        <f t="shared" ref="B3:B40" si="0">_xlfn.LET(
  _xlpm.txt, D3,
  _xlpm.last, TRIM(RIGHT(SUBSTITUTE(_xlpm.txt," ",REPT(" ",LEN(_xlpm.txt))),LEN(_xlpm.txt))),
  IF(ISNUMBER(SEARCH("INSBSH",_xlpm.txt)),"INSBSH",
     IF(_xlpm.last="INS","INSBSH",
        IF(_xlpm.last="120V","CABLE",_xlpm.last)
     )
  )
)</f>
        <v>TAPE</v>
      </c>
      <c r="C3" s="7" t="str">
        <f>_xlfn.CONCAT('Optimized Data'!$A3," ",'Optimized Data'!$B3)</f>
        <v>3M TAPE</v>
      </c>
      <c r="D3" s="18" t="s">
        <v>31</v>
      </c>
      <c r="E3" s="7">
        <v>145</v>
      </c>
      <c r="F3" s="8">
        <v>12.083333333333334</v>
      </c>
      <c r="G3" s="14">
        <f>CEILING('Optimized Data'!$F3,10)</f>
        <v>20</v>
      </c>
      <c r="H3" s="8">
        <f>'Optimized Data'!$F3/4</f>
        <v>3.0208333333333335</v>
      </c>
      <c r="I3" s="15">
        <f>CEILING('Optimized Data'!$H3,10)</f>
        <v>10</v>
      </c>
      <c r="J3" s="16">
        <f>VLOOKUP('Optimized Data'!$A3,Table3[],3,TRUE)</f>
        <v>10</v>
      </c>
      <c r="K3" s="9">
        <f>CEILING('Optimized Data'!$G3/'Optimized Data'!$J3, 1)</f>
        <v>2</v>
      </c>
      <c r="M3" t="s">
        <v>48</v>
      </c>
      <c r="N3" t="s">
        <v>49</v>
      </c>
      <c r="O3">
        <v>10</v>
      </c>
    </row>
    <row r="4" spans="1:15" ht="15" x14ac:dyDescent="0.25">
      <c r="A4" s="13" t="s">
        <v>50</v>
      </c>
      <c r="B4" s="4" t="str">
        <f t="shared" si="0"/>
        <v>TAPE</v>
      </c>
      <c r="C4" s="4" t="str">
        <f>_xlfn.CONCAT('Optimized Data'!$A4," ",'Optimized Data'!$B4)</f>
        <v>3M TAPE</v>
      </c>
      <c r="D4" s="18" t="s">
        <v>26</v>
      </c>
      <c r="E4" s="4">
        <v>170</v>
      </c>
      <c r="F4" s="5">
        <v>14.166666666666666</v>
      </c>
      <c r="G4" s="14">
        <f>CEILING('Optimized Data'!$F4,10)</f>
        <v>20</v>
      </c>
      <c r="H4" s="5">
        <f>'Optimized Data'!$F4/4</f>
        <v>3.5416666666666665</v>
      </c>
      <c r="I4" s="15">
        <f>CEILING('Optimized Data'!$H4,10)</f>
        <v>10</v>
      </c>
      <c r="J4" s="16">
        <f>VLOOKUP('Optimized Data'!$A4,Table3[],3,TRUE)</f>
        <v>10</v>
      </c>
      <c r="K4" s="6">
        <f>CEILING('Optimized Data'!$G4/'Optimized Data'!$J4, 1)</f>
        <v>2</v>
      </c>
      <c r="M4" t="s">
        <v>52</v>
      </c>
      <c r="N4" t="s">
        <v>53</v>
      </c>
      <c r="O4">
        <v>25</v>
      </c>
    </row>
    <row r="5" spans="1:15" ht="15" x14ac:dyDescent="0.25">
      <c r="A5" s="17" t="s">
        <v>50</v>
      </c>
      <c r="B5" s="4" t="str">
        <f t="shared" si="0"/>
        <v>TAPE</v>
      </c>
      <c r="C5" s="7" t="str">
        <f>_xlfn.CONCAT('Optimized Data'!$A5," ",'Optimized Data'!$B5)</f>
        <v>3M TAPE</v>
      </c>
      <c r="D5" s="18" t="s">
        <v>28</v>
      </c>
      <c r="E5" s="7">
        <v>160</v>
      </c>
      <c r="F5" s="8">
        <v>13.333333333333334</v>
      </c>
      <c r="G5" s="14">
        <f>CEILING('Optimized Data'!$F5,10)</f>
        <v>20</v>
      </c>
      <c r="H5" s="8">
        <f>'Optimized Data'!$F5/4</f>
        <v>3.3333333333333335</v>
      </c>
      <c r="I5" s="15">
        <f>CEILING('Optimized Data'!$H5,10)</f>
        <v>10</v>
      </c>
      <c r="J5" s="16">
        <f>VLOOKUP('Optimized Data'!$A5,Table3[],3,TRUE)</f>
        <v>10</v>
      </c>
      <c r="K5" s="9">
        <f>CEILING('Optimized Data'!$G5/'Optimized Data'!$J5, 1)</f>
        <v>2</v>
      </c>
      <c r="M5" t="s">
        <v>54</v>
      </c>
      <c r="N5" t="s">
        <v>55</v>
      </c>
      <c r="O5">
        <v>66</v>
      </c>
    </row>
    <row r="6" spans="1:15" ht="15" x14ac:dyDescent="0.25">
      <c r="A6" s="13" t="s">
        <v>50</v>
      </c>
      <c r="B6" s="4" t="str">
        <f t="shared" si="0"/>
        <v>TAPE</v>
      </c>
      <c r="C6" s="4" t="str">
        <f>_xlfn.CONCAT('Optimized Data'!$A6," ",'Optimized Data'!$B6)</f>
        <v>3M TAPE</v>
      </c>
      <c r="D6" s="4" t="s">
        <v>8</v>
      </c>
      <c r="E6" s="4">
        <v>480</v>
      </c>
      <c r="F6" s="5">
        <v>40</v>
      </c>
      <c r="G6" s="14">
        <f>CEILING('Optimized Data'!$F6,10)</f>
        <v>40</v>
      </c>
      <c r="H6" s="5">
        <f>'Optimized Data'!$F6/4</f>
        <v>10</v>
      </c>
      <c r="I6" s="15">
        <f>CEILING('Optimized Data'!$H6,10)</f>
        <v>10</v>
      </c>
      <c r="J6" s="16">
        <f>VLOOKUP('Optimized Data'!$A6,Table3[],3,TRUE)</f>
        <v>10</v>
      </c>
      <c r="K6" s="6">
        <f>CEILING('Optimized Data'!$G6/'Optimized Data'!$J6, 1)</f>
        <v>4</v>
      </c>
      <c r="M6" t="s">
        <v>92</v>
      </c>
      <c r="N6" t="s">
        <v>97</v>
      </c>
      <c r="O6">
        <v>75</v>
      </c>
    </row>
    <row r="7" spans="1:15" ht="15" x14ac:dyDescent="0.25">
      <c r="A7" s="17" t="s">
        <v>50</v>
      </c>
      <c r="B7" s="4" t="str">
        <f t="shared" si="0"/>
        <v>STACKER</v>
      </c>
      <c r="C7" s="7" t="str">
        <f>_xlfn.CONCAT('Optimized Data'!$A7," ",'Optimized Data'!$B7)</f>
        <v>3M STACKER</v>
      </c>
      <c r="D7" s="18" t="s">
        <v>22</v>
      </c>
      <c r="E7" s="7">
        <v>200</v>
      </c>
      <c r="F7" s="8">
        <v>16.666666666666668</v>
      </c>
      <c r="G7" s="14">
        <f>CEILING('Optimized Data'!$F7,10)</f>
        <v>20</v>
      </c>
      <c r="H7" s="8">
        <f>'Optimized Data'!$F7/4</f>
        <v>4.166666666666667</v>
      </c>
      <c r="I7" s="15">
        <f>CEILING('Optimized Data'!$H7,10)</f>
        <v>10</v>
      </c>
      <c r="J7" s="16">
        <f>VLOOKUP('Optimized Data'!$A7,Table3[],3,TRUE)</f>
        <v>10</v>
      </c>
      <c r="K7" s="9">
        <f>CEILING('Optimized Data'!$G7/'Optimized Data'!$J7, 1)</f>
        <v>2</v>
      </c>
      <c r="M7" t="s">
        <v>56</v>
      </c>
      <c r="N7" t="s">
        <v>57</v>
      </c>
      <c r="O7">
        <v>250</v>
      </c>
    </row>
    <row r="8" spans="1:15" ht="15" x14ac:dyDescent="0.25">
      <c r="A8" s="13" t="s">
        <v>50</v>
      </c>
      <c r="B8" s="4" t="str">
        <f t="shared" si="0"/>
        <v>VINYL</v>
      </c>
      <c r="C8" s="4" t="str">
        <f>_xlfn.CONCAT('Optimized Data'!$A8," ",'Optimized Data'!$B8)</f>
        <v>3M VINYL</v>
      </c>
      <c r="D8" s="4" t="s">
        <v>18</v>
      </c>
      <c r="E8" s="4">
        <v>255</v>
      </c>
      <c r="F8" s="5">
        <v>21.25</v>
      </c>
      <c r="G8" s="14">
        <f>CEILING('Optimized Data'!$F8,10)</f>
        <v>30</v>
      </c>
      <c r="H8" s="5">
        <f>'Optimized Data'!$F8/4</f>
        <v>5.3125</v>
      </c>
      <c r="I8" s="15">
        <f>CEILING('Optimized Data'!$H8,10)</f>
        <v>10</v>
      </c>
      <c r="J8" s="16">
        <f>VLOOKUP('Optimized Data'!$A8,Table3[],3,TRUE)</f>
        <v>10</v>
      </c>
      <c r="K8" s="6">
        <f>CEILING('Optimized Data'!$G8/'Optimized Data'!$J8, 1)</f>
        <v>3</v>
      </c>
      <c r="M8" t="s">
        <v>58</v>
      </c>
      <c r="N8" t="s">
        <v>59</v>
      </c>
      <c r="O8">
        <v>100</v>
      </c>
    </row>
    <row r="9" spans="1:15" ht="15" x14ac:dyDescent="0.25">
      <c r="A9" s="17" t="s">
        <v>48</v>
      </c>
      <c r="B9" s="4" t="str">
        <f t="shared" si="0"/>
        <v>CONN</v>
      </c>
      <c r="C9" s="7" t="str">
        <f>_xlfn.CONCAT('Optimized Data'!$A9," ",'Optimized Data'!$B9)</f>
        <v>AMFI CONN</v>
      </c>
      <c r="D9" s="18" t="s">
        <v>30</v>
      </c>
      <c r="E9" s="7">
        <v>145</v>
      </c>
      <c r="F9" s="8">
        <v>12.083333333333334</v>
      </c>
      <c r="G9" s="14">
        <f>CEILING('Optimized Data'!$F9,10)</f>
        <v>20</v>
      </c>
      <c r="H9" s="8">
        <f>'Optimized Data'!$F9/4</f>
        <v>3.0208333333333335</v>
      </c>
      <c r="I9" s="15">
        <f>CEILING('Optimized Data'!$H9,10)</f>
        <v>10</v>
      </c>
      <c r="J9" s="16">
        <f>VLOOKUP('Optimized Data'!$A9,Table3[],3,TRUE)</f>
        <v>10</v>
      </c>
      <c r="K9" s="9">
        <f>CEILING('Optimized Data'!$G9/'Optimized Data'!$J9, 1)</f>
        <v>2</v>
      </c>
      <c r="M9" t="s">
        <v>89</v>
      </c>
      <c r="N9" t="s">
        <v>55</v>
      </c>
      <c r="O9">
        <v>100</v>
      </c>
    </row>
    <row r="10" spans="1:15" ht="15" x14ac:dyDescent="0.25">
      <c r="A10" s="13" t="s">
        <v>48</v>
      </c>
      <c r="B10" s="4" t="str">
        <f t="shared" si="0"/>
        <v>BUSHING</v>
      </c>
      <c r="C10" s="4" t="str">
        <f>_xlfn.CONCAT('Optimized Data'!$A10," ",'Optimized Data'!$B10)</f>
        <v>AMFI BUSHING</v>
      </c>
      <c r="D10" s="18" t="s">
        <v>27</v>
      </c>
      <c r="E10" s="4">
        <v>163</v>
      </c>
      <c r="F10" s="5">
        <v>13.583333333333334</v>
      </c>
      <c r="G10" s="14">
        <f>CEILING('Optimized Data'!$F10,10)</f>
        <v>20</v>
      </c>
      <c r="H10" s="5">
        <f>'Optimized Data'!$F10/4</f>
        <v>3.3958333333333335</v>
      </c>
      <c r="I10" s="15">
        <f>CEILING('Optimized Data'!$H10,10)</f>
        <v>10</v>
      </c>
      <c r="J10" s="16">
        <f>VLOOKUP('Optimized Data'!$A10,Table3[],3,TRUE)</f>
        <v>10</v>
      </c>
      <c r="K10" s="6">
        <f>CEILING('Optimized Data'!$G10/'Optimized Data'!$J10, 1)</f>
        <v>2</v>
      </c>
      <c r="M10" t="s">
        <v>60</v>
      </c>
      <c r="N10" t="s">
        <v>61</v>
      </c>
      <c r="O10">
        <v>25</v>
      </c>
    </row>
    <row r="11" spans="1:15" ht="15" x14ac:dyDescent="0.25">
      <c r="A11" s="17" t="s">
        <v>48</v>
      </c>
      <c r="B11" s="4" t="str">
        <f t="shared" si="0"/>
        <v>CONN</v>
      </c>
      <c r="C11" s="7" t="str">
        <f>_xlfn.CONCAT('Optimized Data'!$A11," ",'Optimized Data'!$B11)</f>
        <v>AMFI CONN</v>
      </c>
      <c r="D11" s="18" t="s">
        <v>35</v>
      </c>
      <c r="E11" s="7">
        <v>120</v>
      </c>
      <c r="F11" s="8">
        <v>10</v>
      </c>
      <c r="G11" s="14">
        <f>CEILING('Optimized Data'!$F11,10)</f>
        <v>10</v>
      </c>
      <c r="H11" s="8">
        <f>'Optimized Data'!$F11/4</f>
        <v>2.5</v>
      </c>
      <c r="I11" s="15">
        <f>CEILING('Optimized Data'!$H11,10)</f>
        <v>10</v>
      </c>
      <c r="J11" s="16">
        <f>VLOOKUP('Optimized Data'!$A11,Table3[],3,TRUE)</f>
        <v>10</v>
      </c>
      <c r="K11" s="9">
        <f>CEILING('Optimized Data'!$G11/'Optimized Data'!$J11, 1)</f>
        <v>1</v>
      </c>
      <c r="M11" t="s">
        <v>64</v>
      </c>
      <c r="N11" t="s">
        <v>78</v>
      </c>
      <c r="O11">
        <v>100</v>
      </c>
    </row>
    <row r="12" spans="1:15" ht="15" x14ac:dyDescent="0.25">
      <c r="A12" s="13" t="s">
        <v>48</v>
      </c>
      <c r="B12" s="4" t="str">
        <f t="shared" si="0"/>
        <v>CONNECTOR</v>
      </c>
      <c r="C12" s="4" t="str">
        <f>_xlfn.CONCAT('Optimized Data'!$A12," ",'Optimized Data'!$B12)</f>
        <v>AMFI CONNECTOR</v>
      </c>
      <c r="D12" s="4" t="s">
        <v>9</v>
      </c>
      <c r="E12" s="4">
        <v>475</v>
      </c>
      <c r="F12" s="5">
        <v>39.583333333333336</v>
      </c>
      <c r="G12" s="14">
        <f>CEILING('Optimized Data'!$F12,10)</f>
        <v>40</v>
      </c>
      <c r="H12" s="5">
        <f>'Optimized Data'!$F12/4</f>
        <v>9.8958333333333339</v>
      </c>
      <c r="I12" s="15">
        <f>CEILING('Optimized Data'!$H12,10)</f>
        <v>10</v>
      </c>
      <c r="J12" s="16">
        <f>VLOOKUP('Optimized Data'!$A12,Table3[],3,TRUE)</f>
        <v>10</v>
      </c>
      <c r="K12" s="6">
        <f>CEILING('Optimized Data'!$G12/'Optimized Data'!$J12, 1)</f>
        <v>4</v>
      </c>
      <c r="M12" t="s">
        <v>67</v>
      </c>
      <c r="N12" t="s">
        <v>68</v>
      </c>
      <c r="O12">
        <v>125</v>
      </c>
    </row>
    <row r="13" spans="1:15" ht="15" x14ac:dyDescent="0.25">
      <c r="A13" s="17" t="s">
        <v>48</v>
      </c>
      <c r="B13" s="4" t="str">
        <f t="shared" si="0"/>
        <v>CONNECTOR</v>
      </c>
      <c r="C13" s="7" t="str">
        <f>_xlfn.CONCAT('Optimized Data'!$A13," ",'Optimized Data'!$B13)</f>
        <v>AMFI CONNECTOR</v>
      </c>
      <c r="D13" s="7" t="s">
        <v>11</v>
      </c>
      <c r="E13" s="7">
        <v>410</v>
      </c>
      <c r="F13" s="8">
        <v>34.166666666666664</v>
      </c>
      <c r="G13" s="14">
        <f>CEILING('Optimized Data'!$F13,10)</f>
        <v>40</v>
      </c>
      <c r="H13" s="8">
        <f>'Optimized Data'!$F13/4</f>
        <v>8.5416666666666661</v>
      </c>
      <c r="I13" s="15">
        <f>CEILING('Optimized Data'!$H13,10)</f>
        <v>10</v>
      </c>
      <c r="J13" s="16">
        <f>VLOOKUP('Optimized Data'!$A13,Table3[],3,TRUE)</f>
        <v>10</v>
      </c>
      <c r="K13" s="9">
        <f>CEILING('Optimized Data'!$G13/'Optimized Data'!$J13, 1)</f>
        <v>4</v>
      </c>
      <c r="M13" t="s">
        <v>70</v>
      </c>
      <c r="N13" t="s">
        <v>71</v>
      </c>
      <c r="O13">
        <v>24</v>
      </c>
    </row>
    <row r="14" spans="1:15" ht="15" x14ac:dyDescent="0.25">
      <c r="A14" s="13" t="s">
        <v>52</v>
      </c>
      <c r="B14" s="4" t="str">
        <f t="shared" si="0"/>
        <v>BEAM</v>
      </c>
      <c r="C14" s="4" t="str">
        <f>_xlfn.CONCAT('Optimized Data'!$A14," ",'Optimized Data'!$B14)</f>
        <v>APP BEAM</v>
      </c>
      <c r="D14" s="4" t="s">
        <v>4</v>
      </c>
      <c r="E14" s="4">
        <v>1200</v>
      </c>
      <c r="F14" s="5">
        <v>100</v>
      </c>
      <c r="G14" s="14">
        <f>CEILING('Optimized Data'!$F14,10)</f>
        <v>100</v>
      </c>
      <c r="H14" s="5">
        <f>'Optimized Data'!$F14/4</f>
        <v>25</v>
      </c>
      <c r="I14" s="15">
        <f>CEILING('Optimized Data'!$H14,10)</f>
        <v>30</v>
      </c>
      <c r="J14" s="16">
        <f>VLOOKUP('Optimized Data'!$A14,Table3[],3,TRUE)</f>
        <v>25</v>
      </c>
      <c r="K14" s="6">
        <f>CEILING('Optimized Data'!$G14/'Optimized Data'!$J14, 1)</f>
        <v>4</v>
      </c>
      <c r="M14" t="s">
        <v>72</v>
      </c>
      <c r="N14" t="s">
        <v>73</v>
      </c>
      <c r="O14">
        <v>100</v>
      </c>
    </row>
    <row r="15" spans="1:15" ht="15" x14ac:dyDescent="0.25">
      <c r="A15" s="17" t="s">
        <v>54</v>
      </c>
      <c r="B15" s="4" t="str">
        <f t="shared" si="0"/>
        <v>CONN</v>
      </c>
      <c r="C15" s="7" t="str">
        <f>_xlfn.CONCAT('Optimized Data'!$A15," ",'Optimized Data'!$B15)</f>
        <v>ARL CONN</v>
      </c>
      <c r="D15" s="7" t="s">
        <v>12</v>
      </c>
      <c r="E15" s="7">
        <v>400</v>
      </c>
      <c r="F15" s="8">
        <v>33.333333333333336</v>
      </c>
      <c r="G15" s="14">
        <f>CEILING('Optimized Data'!$F15,10)</f>
        <v>40</v>
      </c>
      <c r="H15" s="8">
        <f>'Optimized Data'!$F15/4</f>
        <v>8.3333333333333339</v>
      </c>
      <c r="I15" s="15">
        <f>CEILING('Optimized Data'!$H15,10)</f>
        <v>10</v>
      </c>
      <c r="J15" s="16">
        <f>VLOOKUP('Optimized Data'!$A15,Table3[],3,TRUE)</f>
        <v>66</v>
      </c>
      <c r="K15" s="9">
        <f>CEILING('Optimized Data'!$G15/'Optimized Data'!$J15, 1)</f>
        <v>1</v>
      </c>
      <c r="M15" t="s">
        <v>43</v>
      </c>
      <c r="N15" t="s">
        <v>65</v>
      </c>
      <c r="O15">
        <v>100</v>
      </c>
    </row>
    <row r="16" spans="1:15" ht="15" x14ac:dyDescent="0.25">
      <c r="A16" s="13" t="s">
        <v>54</v>
      </c>
      <c r="B16" s="4" t="str">
        <f t="shared" si="0"/>
        <v>TERMINATOR</v>
      </c>
      <c r="C16" s="4" t="str">
        <f>_xlfn.CONCAT('Optimized Data'!$A16," ",'Optimized Data'!$B16)</f>
        <v>ARL TERMINATOR</v>
      </c>
      <c r="D16" s="18" t="s">
        <v>36</v>
      </c>
      <c r="E16" s="4">
        <v>118</v>
      </c>
      <c r="F16" s="5">
        <v>9.8333333333333339</v>
      </c>
      <c r="G16" s="14">
        <f>CEILING('Optimized Data'!$F16,10)</f>
        <v>10</v>
      </c>
      <c r="H16" s="5">
        <f>'Optimized Data'!$F16/4</f>
        <v>2.4583333333333335</v>
      </c>
      <c r="I16" s="15">
        <f>CEILING('Optimized Data'!$H16,10)</f>
        <v>10</v>
      </c>
      <c r="J16" s="16">
        <f>VLOOKUP('Optimized Data'!$A16,Table3[],3,TRUE)</f>
        <v>66</v>
      </c>
      <c r="K16" s="6">
        <f>CEILING('Optimized Data'!$G16/'Optimized Data'!$J16, 1)</f>
        <v>1</v>
      </c>
      <c r="M16" t="s">
        <v>83</v>
      </c>
      <c r="N16" t="s">
        <v>84</v>
      </c>
      <c r="O16">
        <v>100</v>
      </c>
    </row>
    <row r="17" spans="1:15" ht="15" x14ac:dyDescent="0.25">
      <c r="A17" s="17" t="s">
        <v>54</v>
      </c>
      <c r="B17" s="4" t="str">
        <f t="shared" si="0"/>
        <v>TERMINATOR</v>
      </c>
      <c r="C17" s="7" t="str">
        <f>_xlfn.CONCAT('Optimized Data'!$A17," ",'Optimized Data'!$B17)</f>
        <v>ARL TERMINATOR</v>
      </c>
      <c r="D17" s="18" t="s">
        <v>23</v>
      </c>
      <c r="E17" s="7">
        <v>200</v>
      </c>
      <c r="F17" s="8">
        <v>16.666666666666668</v>
      </c>
      <c r="G17" s="14">
        <f>CEILING('Optimized Data'!$F17,10)</f>
        <v>20</v>
      </c>
      <c r="H17" s="8">
        <f>'Optimized Data'!$F17/4</f>
        <v>4.166666666666667</v>
      </c>
      <c r="I17" s="15">
        <f>CEILING('Optimized Data'!$H17,10)</f>
        <v>10</v>
      </c>
      <c r="J17" s="16">
        <f>VLOOKUP('Optimized Data'!$A17,Table3[],3,TRUE)</f>
        <v>66</v>
      </c>
      <c r="K17" s="9">
        <f>CEILING('Optimized Data'!$G17/'Optimized Data'!$J17, 1)</f>
        <v>1</v>
      </c>
      <c r="M17" t="s">
        <v>90</v>
      </c>
      <c r="N17" t="s">
        <v>91</v>
      </c>
      <c r="O17">
        <v>10</v>
      </c>
    </row>
    <row r="18" spans="1:15" ht="15" x14ac:dyDescent="0.25">
      <c r="A18" s="13" t="s">
        <v>54</v>
      </c>
      <c r="B18" s="4" t="str">
        <f t="shared" si="0"/>
        <v>TERMINATOR</v>
      </c>
      <c r="C18" s="4" t="str">
        <f>_xlfn.CONCAT('Optimized Data'!$A18," ",'Optimized Data'!$B18)</f>
        <v>ARL TERMINATOR</v>
      </c>
      <c r="D18" s="4" t="s">
        <v>5</v>
      </c>
      <c r="E18" s="4">
        <v>800</v>
      </c>
      <c r="F18" s="5">
        <v>66.666666666666671</v>
      </c>
      <c r="G18" s="14">
        <f>CEILING('Optimized Data'!$F18,10)</f>
        <v>70</v>
      </c>
      <c r="H18" s="5">
        <f>'Optimized Data'!$F18/4</f>
        <v>16.666666666666668</v>
      </c>
      <c r="I18" s="15">
        <f>CEILING('Optimized Data'!$H18,10)</f>
        <v>20</v>
      </c>
      <c r="J18" s="16">
        <f>VLOOKUP('Optimized Data'!$A18,Table3[],3,TRUE)</f>
        <v>66</v>
      </c>
      <c r="K18" s="6">
        <f>CEILING('Optimized Data'!$G18/'Optimized Data'!$J18, 1)</f>
        <v>2</v>
      </c>
      <c r="M18" t="s">
        <v>87</v>
      </c>
      <c r="N18" t="s">
        <v>88</v>
      </c>
      <c r="O18">
        <v>100</v>
      </c>
    </row>
    <row r="19" spans="1:15" ht="15" x14ac:dyDescent="0.25">
      <c r="A19" s="17" t="s">
        <v>54</v>
      </c>
      <c r="B19" s="4" t="str">
        <f t="shared" si="0"/>
        <v>HANGER</v>
      </c>
      <c r="C19" s="7" t="str">
        <f>_xlfn.CONCAT('Optimized Data'!$A19," ",'Optimized Data'!$B19)</f>
        <v>ARL HANGER</v>
      </c>
      <c r="D19" s="18" t="s">
        <v>24</v>
      </c>
      <c r="E19" s="7">
        <v>200</v>
      </c>
      <c r="F19" s="8">
        <v>16.666666666666668</v>
      </c>
      <c r="G19" s="14">
        <f>CEILING('Optimized Data'!$F19,10)</f>
        <v>20</v>
      </c>
      <c r="H19" s="8">
        <f>'Optimized Data'!$F19/4</f>
        <v>4.166666666666667</v>
      </c>
      <c r="I19" s="15">
        <f>CEILING('Optimized Data'!$H19,10)</f>
        <v>10</v>
      </c>
      <c r="J19" s="16">
        <f>VLOOKUP('Optimized Data'!$A19,Table3[],3,TRUE)</f>
        <v>66</v>
      </c>
      <c r="K19" s="9">
        <f>CEILING('Optimized Data'!$G19/'Optimized Data'!$J19, 1)</f>
        <v>1</v>
      </c>
      <c r="M19" t="s">
        <v>85</v>
      </c>
      <c r="N19" t="s">
        <v>86</v>
      </c>
      <c r="O19">
        <v>100</v>
      </c>
    </row>
    <row r="20" spans="1:15" ht="15" x14ac:dyDescent="0.25">
      <c r="A20" s="13" t="s">
        <v>54</v>
      </c>
      <c r="B20" s="4" t="str">
        <f t="shared" si="0"/>
        <v>GRIP</v>
      </c>
      <c r="C20" s="4" t="str">
        <f>_xlfn.CONCAT('Optimized Data'!$A20," ",'Optimized Data'!$B20)</f>
        <v>ARL GRIP</v>
      </c>
      <c r="D20" s="4" t="s">
        <v>15</v>
      </c>
      <c r="E20" s="4">
        <v>360</v>
      </c>
      <c r="F20" s="5">
        <v>30</v>
      </c>
      <c r="G20" s="14">
        <f>CEILING('Optimized Data'!$F20,10)</f>
        <v>30</v>
      </c>
      <c r="H20" s="5">
        <f>'Optimized Data'!$F20/4</f>
        <v>7.5</v>
      </c>
      <c r="I20" s="15">
        <f>CEILING('Optimized Data'!$H20,10)</f>
        <v>10</v>
      </c>
      <c r="J20" s="16">
        <f>VLOOKUP('Optimized Data'!$A20,Table3[],3,TRUE)</f>
        <v>66</v>
      </c>
      <c r="K20" s="6">
        <f>CEILING('Optimized Data'!$G20/'Optimized Data'!$J20, 1)</f>
        <v>1</v>
      </c>
      <c r="M20" t="s">
        <v>81</v>
      </c>
      <c r="N20" t="s">
        <v>82</v>
      </c>
      <c r="O20">
        <v>100</v>
      </c>
    </row>
    <row r="21" spans="1:15" ht="15" x14ac:dyDescent="0.25">
      <c r="A21" s="17" t="s">
        <v>54</v>
      </c>
      <c r="B21" s="4" t="str">
        <f t="shared" si="0"/>
        <v>GRIP</v>
      </c>
      <c r="C21" s="7" t="str">
        <f>_xlfn.CONCAT('Optimized Data'!$A21," ",'Optimized Data'!$B21)</f>
        <v>ARL GRIP</v>
      </c>
      <c r="D21" s="7" t="s">
        <v>3</v>
      </c>
      <c r="E21" s="7">
        <v>1500</v>
      </c>
      <c r="F21" s="8">
        <v>125</v>
      </c>
      <c r="G21" s="14">
        <f>CEILING('Optimized Data'!$F21,10)</f>
        <v>130</v>
      </c>
      <c r="H21" s="8">
        <f>'Optimized Data'!$F21/4</f>
        <v>31.25</v>
      </c>
      <c r="I21" s="15">
        <f>CEILING('Optimized Data'!$H21,10)</f>
        <v>40</v>
      </c>
      <c r="J21" s="16">
        <f>VLOOKUP('Optimized Data'!$A21,Table3[],3,TRUE)</f>
        <v>66</v>
      </c>
      <c r="K21" s="9">
        <f>CEILING('Optimized Data'!$G21/'Optimized Data'!$J21, 1)</f>
        <v>2</v>
      </c>
      <c r="M21" t="s">
        <v>76</v>
      </c>
      <c r="N21" t="s">
        <v>77</v>
      </c>
      <c r="O21">
        <v>100</v>
      </c>
    </row>
    <row r="22" spans="1:15" ht="15" x14ac:dyDescent="0.25">
      <c r="A22" s="13" t="s">
        <v>92</v>
      </c>
      <c r="B22" s="4" t="str">
        <f t="shared" si="0"/>
        <v>CONDUIT</v>
      </c>
      <c r="C22" s="4" t="str">
        <f>_xlfn.CONCAT('Optimized Data'!$A22," ",'Optimized Data'!$B22)</f>
        <v>BRDGPORT CONDUIT</v>
      </c>
      <c r="D22" s="18" t="s">
        <v>21</v>
      </c>
      <c r="E22" s="4">
        <v>205</v>
      </c>
      <c r="F22" s="5">
        <v>17.083333333333332</v>
      </c>
      <c r="G22" s="14">
        <f>CEILING('Optimized Data'!$F22,10)</f>
        <v>20</v>
      </c>
      <c r="H22" s="5">
        <f>'Optimized Data'!$F22/4</f>
        <v>4.270833333333333</v>
      </c>
      <c r="I22" s="15">
        <f>CEILING('Optimized Data'!$H22,10)</f>
        <v>10</v>
      </c>
      <c r="J22" s="16">
        <f>VLOOKUP('Optimized Data'!$A22,Table3[],3,TRUE)</f>
        <v>75</v>
      </c>
      <c r="K22" s="6">
        <f>CEILING('Optimized Data'!$G22/'Optimized Data'!$J22, 1)</f>
        <v>1</v>
      </c>
      <c r="M22" t="s">
        <v>74</v>
      </c>
      <c r="N22" t="s">
        <v>75</v>
      </c>
      <c r="O22">
        <v>25</v>
      </c>
    </row>
    <row r="23" spans="1:15" ht="15" x14ac:dyDescent="0.25">
      <c r="A23" s="17" t="s">
        <v>92</v>
      </c>
      <c r="B23" s="4" t="str">
        <f t="shared" si="0"/>
        <v>CONDUIT</v>
      </c>
      <c r="C23" s="7" t="str">
        <f>_xlfn.CONCAT('Optimized Data'!$A23," ",'Optimized Data'!$B23)</f>
        <v>BRDGPORT CONDUIT</v>
      </c>
      <c r="D23" s="18" t="s">
        <v>33</v>
      </c>
      <c r="E23" s="7">
        <v>138</v>
      </c>
      <c r="F23" s="8">
        <v>11.5</v>
      </c>
      <c r="G23" s="14">
        <f>CEILING('Optimized Data'!$F23,10)</f>
        <v>20</v>
      </c>
      <c r="H23" s="8">
        <f>'Optimized Data'!$F23/4</f>
        <v>2.875</v>
      </c>
      <c r="I23" s="15">
        <f>CEILING('Optimized Data'!$H23,10)</f>
        <v>10</v>
      </c>
      <c r="J23" s="16">
        <f>VLOOKUP('Optimized Data'!$A23,Table3[],3,TRUE)</f>
        <v>75</v>
      </c>
      <c r="K23" s="9">
        <f>CEILING('Optimized Data'!$G23/'Optimized Data'!$J23, 1)</f>
        <v>1</v>
      </c>
      <c r="M23" t="s">
        <v>79</v>
      </c>
      <c r="N23" t="s">
        <v>80</v>
      </c>
      <c r="O23">
        <v>12</v>
      </c>
    </row>
    <row r="24" spans="1:15" ht="15" x14ac:dyDescent="0.25">
      <c r="A24" s="13" t="s">
        <v>92</v>
      </c>
      <c r="B24" s="4" t="str">
        <f t="shared" si="0"/>
        <v>COND</v>
      </c>
      <c r="C24" s="4" t="str">
        <f>_xlfn.CONCAT('Optimized Data'!$A24," ",'Optimized Data'!$B24)</f>
        <v>BRDGPORT COND</v>
      </c>
      <c r="D24" s="18" t="s">
        <v>34</v>
      </c>
      <c r="E24" s="4">
        <v>128</v>
      </c>
      <c r="F24" s="5">
        <v>10.666666666666666</v>
      </c>
      <c r="G24" s="14">
        <f>CEILING('Optimized Data'!$F24,10)</f>
        <v>20</v>
      </c>
      <c r="H24" s="5">
        <f>'Optimized Data'!$F24/4</f>
        <v>2.6666666666666665</v>
      </c>
      <c r="I24" s="15">
        <f>CEILING('Optimized Data'!$H24,10)</f>
        <v>10</v>
      </c>
      <c r="J24" s="16">
        <f>VLOOKUP('Optimized Data'!$A24,Table3[],3,TRUE)</f>
        <v>75</v>
      </c>
      <c r="K24" s="6">
        <f>CEILING('Optimized Data'!$G24/'Optimized Data'!$J24, 1)</f>
        <v>1</v>
      </c>
      <c r="M24" t="s">
        <v>62</v>
      </c>
      <c r="N24" t="s">
        <v>66</v>
      </c>
      <c r="O24">
        <v>20</v>
      </c>
    </row>
    <row r="25" spans="1:15" ht="15" x14ac:dyDescent="0.25">
      <c r="A25" s="17" t="s">
        <v>92</v>
      </c>
      <c r="B25" s="4" t="str">
        <f t="shared" si="0"/>
        <v>INSBSH</v>
      </c>
      <c r="C25" s="7" t="str">
        <f>_xlfn.CONCAT('Optimized Data'!$A25," ",'Optimized Data'!$B25)</f>
        <v>BRDGPORT INSBSH</v>
      </c>
      <c r="D25" s="18" t="s">
        <v>29</v>
      </c>
      <c r="E25" s="7">
        <v>145</v>
      </c>
      <c r="F25" s="8">
        <v>12.083333333333334</v>
      </c>
      <c r="G25" s="14">
        <f>CEILING('Optimized Data'!$F25,10)</f>
        <v>20</v>
      </c>
      <c r="H25" s="8">
        <f>'Optimized Data'!$F25/4</f>
        <v>3.0208333333333335</v>
      </c>
      <c r="I25" s="15">
        <f>CEILING('Optimized Data'!$H25,10)</f>
        <v>10</v>
      </c>
      <c r="J25" s="16">
        <f>VLOOKUP('Optimized Data'!$A25,Table3[],3,TRUE)</f>
        <v>75</v>
      </c>
      <c r="K25" s="9">
        <f>CEILING('Optimized Data'!$G25/'Optimized Data'!$J25, 1)</f>
        <v>1</v>
      </c>
      <c r="M25" t="s">
        <v>63</v>
      </c>
      <c r="N25" t="s">
        <v>40</v>
      </c>
      <c r="O25">
        <v>100</v>
      </c>
    </row>
    <row r="26" spans="1:15" ht="15" x14ac:dyDescent="0.25">
      <c r="A26" s="13" t="s">
        <v>92</v>
      </c>
      <c r="B26" s="4" t="str">
        <f t="shared" si="0"/>
        <v>INSBSH</v>
      </c>
      <c r="C26" s="4" t="str">
        <f>_xlfn.CONCAT('Optimized Data'!$A26," ",'Optimized Data'!$B26)</f>
        <v>BRDGPORT INSBSH</v>
      </c>
      <c r="D26" s="4" t="s">
        <v>20</v>
      </c>
      <c r="E26" s="4">
        <v>250</v>
      </c>
      <c r="F26" s="5">
        <v>20.833333333333332</v>
      </c>
      <c r="G26" s="14">
        <f>CEILING('Optimized Data'!$F26,10)</f>
        <v>30</v>
      </c>
      <c r="H26" s="5">
        <f>'Optimized Data'!$F26/4</f>
        <v>5.208333333333333</v>
      </c>
      <c r="I26" s="15">
        <f>CEILING('Optimized Data'!$H26,10)</f>
        <v>10</v>
      </c>
      <c r="J26" s="16">
        <f>VLOOKUP('Optimized Data'!$A26,Table3[],3,TRUE)</f>
        <v>75</v>
      </c>
      <c r="K26" s="6">
        <f>CEILING('Optimized Data'!$G26/'Optimized Data'!$J26, 1)</f>
        <v>1</v>
      </c>
    </row>
    <row r="27" spans="1:15" ht="15" x14ac:dyDescent="0.25">
      <c r="A27" s="17" t="s">
        <v>92</v>
      </c>
      <c r="B27" s="4" t="str">
        <f t="shared" si="0"/>
        <v>INSBSH</v>
      </c>
      <c r="C27" s="7" t="str">
        <f>_xlfn.CONCAT('Optimized Data'!$A27," ",'Optimized Data'!$B27)</f>
        <v>BRDGPORT INSBSH</v>
      </c>
      <c r="D27" s="18" t="s">
        <v>25</v>
      </c>
      <c r="E27" s="7">
        <v>185</v>
      </c>
      <c r="F27" s="8">
        <v>15.416666666666666</v>
      </c>
      <c r="G27" s="14">
        <f>CEILING('Optimized Data'!$F27,10)</f>
        <v>20</v>
      </c>
      <c r="H27" s="8">
        <f>'Optimized Data'!$F27/4</f>
        <v>3.8541666666666665</v>
      </c>
      <c r="I27" s="15">
        <f>CEILING('Optimized Data'!$H27,10)</f>
        <v>10</v>
      </c>
      <c r="J27" s="16">
        <f>VLOOKUP('Optimized Data'!$A27,Table3[],3,TRUE)</f>
        <v>75</v>
      </c>
      <c r="K27" s="9">
        <f>CEILING('Optimized Data'!$G27/'Optimized Data'!$J27, 1)</f>
        <v>1</v>
      </c>
    </row>
    <row r="28" spans="1:15" ht="15" x14ac:dyDescent="0.25">
      <c r="A28" s="13" t="s">
        <v>92</v>
      </c>
      <c r="B28" s="4" t="str">
        <f t="shared" si="0"/>
        <v>INSBSH</v>
      </c>
      <c r="C28" s="4" t="str">
        <f>_xlfn.CONCAT('Optimized Data'!$A28," ",'Optimized Data'!$B28)</f>
        <v>BRDGPORT INSBSH</v>
      </c>
      <c r="D28" s="4" t="s">
        <v>16</v>
      </c>
      <c r="E28" s="4">
        <v>335</v>
      </c>
      <c r="F28" s="5">
        <v>27.916666666666668</v>
      </c>
      <c r="G28" s="14">
        <f>CEILING('Optimized Data'!$F28,10)</f>
        <v>30</v>
      </c>
      <c r="H28" s="5">
        <f>'Optimized Data'!$F28/4</f>
        <v>6.979166666666667</v>
      </c>
      <c r="I28" s="15">
        <f>CEILING('Optimized Data'!$H28,10)</f>
        <v>10</v>
      </c>
      <c r="J28" s="16">
        <f>VLOOKUP('Optimized Data'!$A28,Table3[],3,TRUE)</f>
        <v>75</v>
      </c>
      <c r="K28" s="6">
        <f>CEILING('Optimized Data'!$G28/'Optimized Data'!$J28, 1)</f>
        <v>1</v>
      </c>
    </row>
    <row r="29" spans="1:15" ht="15" x14ac:dyDescent="0.25">
      <c r="A29" s="17" t="s">
        <v>92</v>
      </c>
      <c r="B29" s="4" t="str">
        <f t="shared" si="0"/>
        <v>BSH</v>
      </c>
      <c r="C29" s="7" t="str">
        <f>_xlfn.CONCAT('Optimized Data'!$A29," ",'Optimized Data'!$B29)</f>
        <v>BRDGPORT BSH</v>
      </c>
      <c r="D29" s="7" t="s">
        <v>17</v>
      </c>
      <c r="E29" s="7">
        <v>320</v>
      </c>
      <c r="F29" s="8">
        <v>26.666666666666668</v>
      </c>
      <c r="G29" s="14">
        <f>CEILING('Optimized Data'!$F29,10)</f>
        <v>30</v>
      </c>
      <c r="H29" s="8">
        <f>'Optimized Data'!$F29/4</f>
        <v>6.666666666666667</v>
      </c>
      <c r="I29" s="15">
        <f>CEILING('Optimized Data'!$H29,10)</f>
        <v>10</v>
      </c>
      <c r="J29" s="16">
        <f>VLOOKUP('Optimized Data'!$A29,Table3[],3,TRUE)</f>
        <v>75</v>
      </c>
      <c r="K29" s="9">
        <f>CEILING('Optimized Data'!$G29/'Optimized Data'!$J29, 1)</f>
        <v>1</v>
      </c>
    </row>
    <row r="30" spans="1:15" ht="15" x14ac:dyDescent="0.25">
      <c r="A30" s="13" t="s">
        <v>92</v>
      </c>
      <c r="B30" s="4" t="str">
        <f t="shared" si="0"/>
        <v>FLEX</v>
      </c>
      <c r="C30" s="4" t="str">
        <f>_xlfn.CONCAT('Optimized Data'!$A30," ",'Optimized Data'!$B30)</f>
        <v>BRDGPORT FLEX</v>
      </c>
      <c r="D30" s="4" t="s">
        <v>10</v>
      </c>
      <c r="E30" s="4">
        <v>429</v>
      </c>
      <c r="F30" s="5">
        <v>35.75</v>
      </c>
      <c r="G30" s="14">
        <f>CEILING('Optimized Data'!$F30,10)</f>
        <v>40</v>
      </c>
      <c r="H30" s="5">
        <f>'Optimized Data'!$F30/4</f>
        <v>8.9375</v>
      </c>
      <c r="I30" s="15">
        <f>CEILING('Optimized Data'!$H30,10)</f>
        <v>10</v>
      </c>
      <c r="J30" s="16">
        <f>VLOOKUP('Optimized Data'!$A30,Table3[],3,TRUE)</f>
        <v>75</v>
      </c>
      <c r="K30" s="6">
        <f>CEILING('Optimized Data'!$G30/'Optimized Data'!$J30, 1)</f>
        <v>1</v>
      </c>
    </row>
    <row r="31" spans="1:15" ht="15" x14ac:dyDescent="0.25">
      <c r="A31" s="17" t="s">
        <v>92</v>
      </c>
      <c r="B31" s="4" t="str">
        <f t="shared" si="0"/>
        <v>FLEX</v>
      </c>
      <c r="C31" s="7" t="str">
        <f>_xlfn.CONCAT('Optimized Data'!$A31," ",'Optimized Data'!$B31)</f>
        <v>BRDGPORT FLEX</v>
      </c>
      <c r="D31" s="18" t="s">
        <v>37</v>
      </c>
      <c r="E31" s="7">
        <v>115</v>
      </c>
      <c r="F31" s="8">
        <v>9.5833333333333339</v>
      </c>
      <c r="G31" s="14">
        <f>CEILING('Optimized Data'!$F31,10)</f>
        <v>10</v>
      </c>
      <c r="H31" s="8">
        <f>'Optimized Data'!$F31/4</f>
        <v>2.3958333333333335</v>
      </c>
      <c r="I31" s="15">
        <f>CEILING('Optimized Data'!$H31,10)</f>
        <v>10</v>
      </c>
      <c r="J31" s="16">
        <f>VLOOKUP('Optimized Data'!$A31,Table3[],3,TRUE)</f>
        <v>75</v>
      </c>
      <c r="K31" s="9">
        <f>CEILING('Optimized Data'!$G31/'Optimized Data'!$J31, 1)</f>
        <v>1</v>
      </c>
    </row>
    <row r="32" spans="1:15" ht="15" x14ac:dyDescent="0.25">
      <c r="A32" s="13" t="s">
        <v>92</v>
      </c>
      <c r="B32" s="4" t="str">
        <f t="shared" si="0"/>
        <v>COND</v>
      </c>
      <c r="C32" s="4" t="str">
        <f>_xlfn.CONCAT('Optimized Data'!$A32," ",'Optimized Data'!$B32)</f>
        <v>BRDGPORT COND</v>
      </c>
      <c r="D32" s="4" t="s">
        <v>6</v>
      </c>
      <c r="E32" s="4">
        <v>780</v>
      </c>
      <c r="F32" s="5">
        <v>65</v>
      </c>
      <c r="G32" s="14">
        <f>CEILING('Optimized Data'!$F32,10)</f>
        <v>70</v>
      </c>
      <c r="H32" s="5">
        <f>'Optimized Data'!$F32/4</f>
        <v>16.25</v>
      </c>
      <c r="I32" s="15">
        <f>CEILING('Optimized Data'!$H32,10)</f>
        <v>20</v>
      </c>
      <c r="J32" s="16">
        <f>VLOOKUP('Optimized Data'!$A32,Table3[],3,TRUE)</f>
        <v>75</v>
      </c>
      <c r="K32" s="6">
        <f>CEILING('Optimized Data'!$G32/'Optimized Data'!$J32, 1)</f>
        <v>1</v>
      </c>
    </row>
    <row r="33" spans="1:11" ht="15" x14ac:dyDescent="0.25">
      <c r="A33" s="17" t="s">
        <v>92</v>
      </c>
      <c r="B33" s="4" t="str">
        <f t="shared" si="0"/>
        <v>COND</v>
      </c>
      <c r="C33" s="7" t="str">
        <f>_xlfn.CONCAT('Optimized Data'!$A33," ",'Optimized Data'!$B33)</f>
        <v>BRDGPORT COND</v>
      </c>
      <c r="D33" s="7" t="s">
        <v>13</v>
      </c>
      <c r="E33" s="7">
        <v>390</v>
      </c>
      <c r="F33" s="8">
        <v>32.5</v>
      </c>
      <c r="G33" s="14">
        <f>CEILING('Optimized Data'!$F33,10)</f>
        <v>40</v>
      </c>
      <c r="H33" s="8">
        <f>'Optimized Data'!$F33/4</f>
        <v>8.125</v>
      </c>
      <c r="I33" s="15">
        <f>CEILING('Optimized Data'!$H33,10)</f>
        <v>10</v>
      </c>
      <c r="J33" s="16">
        <f>VLOOKUP('Optimized Data'!$A33,Table3[],3,TRUE)</f>
        <v>75</v>
      </c>
      <c r="K33" s="9">
        <f>CEILING('Optimized Data'!$G33/'Optimized Data'!$J33, 1)</f>
        <v>1</v>
      </c>
    </row>
    <row r="34" spans="1:11" ht="15" x14ac:dyDescent="0.25">
      <c r="A34" s="13" t="s">
        <v>92</v>
      </c>
      <c r="B34" s="4" t="str">
        <f t="shared" si="0"/>
        <v>COND</v>
      </c>
      <c r="C34" s="4" t="str">
        <f>_xlfn.CONCAT('Optimized Data'!$A34," ",'Optimized Data'!$B34)</f>
        <v>BRDGPORT COND</v>
      </c>
      <c r="D34" s="18" t="s">
        <v>32</v>
      </c>
      <c r="E34" s="4">
        <v>140</v>
      </c>
      <c r="F34" s="5">
        <v>11.666666666666666</v>
      </c>
      <c r="G34" s="14">
        <f>CEILING('Optimized Data'!$F34,10)</f>
        <v>20</v>
      </c>
      <c r="H34" s="5">
        <f>'Optimized Data'!$F34/4</f>
        <v>2.9166666666666665</v>
      </c>
      <c r="I34" s="15">
        <f>CEILING('Optimized Data'!$H34,10)</f>
        <v>10</v>
      </c>
      <c r="J34" s="16">
        <f>VLOOKUP('Optimized Data'!$A34,Table3[],3,TRUE)</f>
        <v>75</v>
      </c>
      <c r="K34" s="6">
        <f>CEILING('Optimized Data'!$G34/'Optimized Data'!$J34, 1)</f>
        <v>1</v>
      </c>
    </row>
    <row r="35" spans="1:11" ht="15" x14ac:dyDescent="0.25">
      <c r="A35" s="17" t="s">
        <v>92</v>
      </c>
      <c r="B35" s="4" t="str">
        <f t="shared" si="0"/>
        <v>EMT</v>
      </c>
      <c r="C35" s="7" t="str">
        <f>_xlfn.CONCAT('Optimized Data'!$A35," ",'Optimized Data'!$B35)</f>
        <v>BRDGPORT EMT</v>
      </c>
      <c r="D35" s="7" t="s">
        <v>0</v>
      </c>
      <c r="E35" s="7">
        <v>2110</v>
      </c>
      <c r="F35" s="8">
        <v>175.83333333333334</v>
      </c>
      <c r="G35" s="14">
        <f>CEILING('Optimized Data'!$F35,10)</f>
        <v>180</v>
      </c>
      <c r="H35" s="8">
        <f>'Optimized Data'!$F35/4</f>
        <v>43.958333333333336</v>
      </c>
      <c r="I35" s="15">
        <f>CEILING('Optimized Data'!$H35,10)</f>
        <v>50</v>
      </c>
      <c r="J35" s="16">
        <f>VLOOKUP('Optimized Data'!$A35,Table3[],3,TRUE)</f>
        <v>75</v>
      </c>
      <c r="K35" s="9">
        <f>CEILING('Optimized Data'!$G35/'Optimized Data'!$J35, 1)</f>
        <v>3</v>
      </c>
    </row>
    <row r="36" spans="1:11" ht="15" x14ac:dyDescent="0.25">
      <c r="A36" s="13" t="s">
        <v>92</v>
      </c>
      <c r="B36" s="4" t="str">
        <f t="shared" si="0"/>
        <v>EMT</v>
      </c>
      <c r="C36" s="4" t="str">
        <f>_xlfn.CONCAT('Optimized Data'!$A36," ",'Optimized Data'!$B36)</f>
        <v>BRDGPORT EMT</v>
      </c>
      <c r="D36" s="4" t="s">
        <v>2</v>
      </c>
      <c r="E36" s="4">
        <v>2000</v>
      </c>
      <c r="F36" s="5">
        <v>166.66666666666666</v>
      </c>
      <c r="G36" s="14">
        <f>CEILING('Optimized Data'!$F36,10)</f>
        <v>170</v>
      </c>
      <c r="H36" s="5">
        <f>'Optimized Data'!$F36/4</f>
        <v>41.666666666666664</v>
      </c>
      <c r="I36" s="15">
        <f>CEILING('Optimized Data'!$H36,10)</f>
        <v>50</v>
      </c>
      <c r="J36" s="16">
        <f>VLOOKUP('Optimized Data'!$A36,Table3[],3,TRUE)</f>
        <v>75</v>
      </c>
      <c r="K36" s="6">
        <f>CEILING('Optimized Data'!$G36/'Optimized Data'!$J36, 1)</f>
        <v>3</v>
      </c>
    </row>
    <row r="37" spans="1:11" ht="15" x14ac:dyDescent="0.25">
      <c r="A37" s="17" t="s">
        <v>92</v>
      </c>
      <c r="B37" s="4" t="str">
        <f t="shared" si="0"/>
        <v>EMT</v>
      </c>
      <c r="C37" s="7" t="str">
        <f>_xlfn.CONCAT('Optimized Data'!$A37," ",'Optimized Data'!$B37)</f>
        <v>BRDGPORT EMT</v>
      </c>
      <c r="D37" s="7" t="s">
        <v>14</v>
      </c>
      <c r="E37" s="7">
        <v>375</v>
      </c>
      <c r="F37" s="8">
        <v>31.25</v>
      </c>
      <c r="G37" s="14">
        <f>CEILING('Optimized Data'!$F37,10)</f>
        <v>40</v>
      </c>
      <c r="H37" s="8">
        <f>'Optimized Data'!$F37/4</f>
        <v>7.8125</v>
      </c>
      <c r="I37" s="15">
        <f>CEILING('Optimized Data'!$H37,10)</f>
        <v>10</v>
      </c>
      <c r="J37" s="16">
        <f>VLOOKUP('Optimized Data'!$A37,Table3[],3,TRUE)</f>
        <v>75</v>
      </c>
      <c r="K37" s="9">
        <f>CEILING('Optimized Data'!$G37/'Optimized Data'!$J37, 1)</f>
        <v>1</v>
      </c>
    </row>
    <row r="38" spans="1:11" ht="15" x14ac:dyDescent="0.25">
      <c r="A38" s="13" t="s">
        <v>92</v>
      </c>
      <c r="B38" s="4" t="str">
        <f t="shared" si="0"/>
        <v>EMT</v>
      </c>
      <c r="C38" s="4" t="str">
        <f>_xlfn.CONCAT('Optimized Data'!$A38," ",'Optimized Data'!$B38)</f>
        <v>BRDGPORT EMT</v>
      </c>
      <c r="D38" s="18" t="s">
        <v>38</v>
      </c>
      <c r="E38" s="4">
        <v>110</v>
      </c>
      <c r="F38" s="5">
        <v>9.1666666666666661</v>
      </c>
      <c r="G38" s="14">
        <f>CEILING('Optimized Data'!$F38,10)</f>
        <v>10</v>
      </c>
      <c r="H38" s="5">
        <f>'Optimized Data'!$F38/4</f>
        <v>2.2916666666666665</v>
      </c>
      <c r="I38" s="15">
        <f>CEILING('Optimized Data'!$H38,10)</f>
        <v>10</v>
      </c>
      <c r="J38" s="16">
        <f>VLOOKUP('Optimized Data'!$A38,Table3[],3,TRUE)</f>
        <v>75</v>
      </c>
      <c r="K38" s="6">
        <f>CEILING('Optimized Data'!$G38/'Optimized Data'!$J38, 1)</f>
        <v>1</v>
      </c>
    </row>
    <row r="39" spans="1:11" ht="15" x14ac:dyDescent="0.25">
      <c r="A39" s="17" t="s">
        <v>56</v>
      </c>
      <c r="B39" s="4" t="str">
        <f t="shared" si="0"/>
        <v>CABLE</v>
      </c>
      <c r="C39" s="7" t="str">
        <f>_xlfn.CONCAT('Optimized Data'!$A39," ",'Optimized Data'!$B39)</f>
        <v>CABLE CABLE</v>
      </c>
      <c r="D39" s="7" t="s">
        <v>7</v>
      </c>
      <c r="E39" s="7">
        <v>750</v>
      </c>
      <c r="F39" s="8">
        <v>62.5</v>
      </c>
      <c r="G39" s="14">
        <f>CEILING('Optimized Data'!$F39,10)</f>
        <v>70</v>
      </c>
      <c r="H39" s="8">
        <f>'Optimized Data'!$F39/4</f>
        <v>15.625</v>
      </c>
      <c r="I39" s="15">
        <f>CEILING('Optimized Data'!$H39,10)</f>
        <v>20</v>
      </c>
      <c r="J39" s="16">
        <f>VLOOKUP('Optimized Data'!$A39,Table3[],3,TRUE)</f>
        <v>250</v>
      </c>
      <c r="K39" s="9">
        <f>CEILING('Optimized Data'!$G39/'Optimized Data'!$J39, 1)</f>
        <v>1</v>
      </c>
    </row>
    <row r="40" spans="1:11" ht="15" x14ac:dyDescent="0.25">
      <c r="A40" s="13" t="s">
        <v>56</v>
      </c>
      <c r="B40" s="4" t="str">
        <f t="shared" si="0"/>
        <v>CABLE</v>
      </c>
      <c r="C40" s="4" t="str">
        <f>_xlfn.CONCAT('Optimized Data'!$A40," ",'Optimized Data'!$B40)</f>
        <v>CABLE CABLE</v>
      </c>
      <c r="D40" s="4" t="s">
        <v>19</v>
      </c>
      <c r="E40" s="4">
        <v>250</v>
      </c>
      <c r="F40" s="5">
        <v>20.833333333333332</v>
      </c>
      <c r="G40" s="14">
        <f>CEILING('Optimized Data'!$F40,10)</f>
        <v>30</v>
      </c>
      <c r="H40" s="5">
        <f>'Optimized Data'!$F40/4</f>
        <v>5.208333333333333</v>
      </c>
      <c r="I40" s="15">
        <f>CEILING('Optimized Data'!$H40,10)</f>
        <v>10</v>
      </c>
      <c r="J40" s="16">
        <f>VLOOKUP('Optimized Data'!$A40,Table3[],3,TRUE)</f>
        <v>250</v>
      </c>
      <c r="K40" s="6">
        <f>CEILING('Optimized Data'!$G40/'Optimized Data'!$J40, 1)</f>
        <v>1</v>
      </c>
    </row>
  </sheetData>
  <phoneticPr fontId="1" type="noConversion"/>
  <conditionalFormatting sqref="H2:H40">
    <cfRule type="cellIs" dxfId="2" priority="2" operator="lessThan">
      <formula>5</formula>
    </cfRule>
  </conditionalFormatting>
  <conditionalFormatting sqref="F2:F39">
    <cfRule type="cellIs" dxfId="0" priority="1" operator="lessThan">
      <formula>20</formula>
    </cfRule>
  </conditionalFormatting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39C20F-E180-4FA2-8BEE-DF24B0A05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fileshare</dc:creator>
  <cp:lastModifiedBy>Colin Waddle</cp:lastModifiedBy>
  <dcterms:created xsi:type="dcterms:W3CDTF">2025-01-23T12:46:48Z</dcterms:created>
  <dcterms:modified xsi:type="dcterms:W3CDTF">2026-02-25T00:32:04Z</dcterms:modified>
</cp:coreProperties>
</file>